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a Garza\Downloads\"/>
    </mc:Choice>
  </mc:AlternateContent>
  <xr:revisionPtr revIDLastSave="0" documentId="13_ncr:1_{DD6D5DF2-26B4-406C-94CE-87ACE22F1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PHA ERP® Hoja1" sheetId="1" r:id="rId1"/>
  </sheets>
  <definedNames>
    <definedName name="_xlnm._FilterDatabase" localSheetId="0" hidden="1">'ALPHA ERP® Hoja1'!$A$1:$H$1178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14" i="1" l="1"/>
  <c r="D853" i="1"/>
  <c r="D506" i="1"/>
  <c r="D226" i="1"/>
  <c r="D254" i="1"/>
  <c r="D668" i="1"/>
  <c r="D334" i="1"/>
  <c r="D468" i="1"/>
  <c r="D1019" i="1"/>
  <c r="D662" i="1"/>
  <c r="D139" i="1"/>
  <c r="D63" i="1"/>
  <c r="D324" i="1"/>
  <c r="D1060" i="1"/>
  <c r="D1028" i="1"/>
  <c r="D604" i="1"/>
  <c r="D235" i="1"/>
  <c r="D427" i="1"/>
  <c r="D321" i="1"/>
  <c r="D931" i="1"/>
  <c r="D1146" i="1"/>
  <c r="D1155" i="1"/>
  <c r="D950" i="1"/>
  <c r="D776" i="1"/>
  <c r="D706" i="1"/>
  <c r="D391" i="1"/>
  <c r="D317" i="1"/>
  <c r="D717" i="1"/>
  <c r="D136" i="1"/>
  <c r="D61" i="1"/>
  <c r="D1004" i="1"/>
  <c r="D369" i="1"/>
  <c r="D516" i="1"/>
  <c r="D366" i="1"/>
  <c r="D739" i="1"/>
  <c r="D594" i="1"/>
  <c r="D842" i="1"/>
  <c r="D486" i="1"/>
  <c r="D911" i="1"/>
  <c r="D1034" i="1"/>
  <c r="D454" i="1"/>
  <c r="D937" i="1"/>
  <c r="D982" i="1"/>
  <c r="D1109" i="1"/>
  <c r="D488" i="1"/>
  <c r="D510" i="1"/>
  <c r="D1141" i="1"/>
  <c r="D456" i="1"/>
  <c r="D603" i="1"/>
  <c r="D685" i="1"/>
  <c r="D526" i="1"/>
  <c r="D683" i="1"/>
  <c r="D595" i="1"/>
  <c r="D703" i="1"/>
  <c r="D372" i="1"/>
  <c r="D501" i="1"/>
  <c r="D255" i="1"/>
  <c r="D412" i="1"/>
  <c r="D1178" i="1"/>
  <c r="D251" i="1"/>
  <c r="D1039" i="1"/>
  <c r="D1080" i="1"/>
  <c r="D1135" i="1"/>
  <c r="D612" i="1"/>
  <c r="D800" i="1"/>
  <c r="D929" i="1"/>
  <c r="D791" i="1"/>
  <c r="D350" i="1"/>
  <c r="D679" i="1"/>
  <c r="D616" i="1"/>
  <c r="D633" i="1"/>
  <c r="D632" i="1"/>
  <c r="D1017" i="1"/>
  <c r="D655" i="1"/>
  <c r="D672" i="1"/>
  <c r="D948" i="1"/>
  <c r="D400" i="1"/>
  <c r="D754" i="1"/>
  <c r="D695" i="1"/>
  <c r="D373" i="1"/>
  <c r="D221" i="1"/>
  <c r="D961" i="1"/>
  <c r="D735" i="1"/>
  <c r="D850" i="1"/>
  <c r="D182" i="1"/>
  <c r="D101" i="1"/>
  <c r="D765" i="1"/>
  <c r="D618" i="1"/>
  <c r="D304" i="1"/>
  <c r="D109" i="1"/>
  <c r="D342" i="1"/>
  <c r="D384" i="1"/>
  <c r="D150" i="1"/>
  <c r="D166" i="1"/>
  <c r="D146" i="1"/>
  <c r="D177" i="1"/>
  <c r="D35" i="1"/>
  <c r="D40" i="1"/>
  <c r="D64" i="1"/>
  <c r="D237" i="1"/>
  <c r="D245" i="1"/>
  <c r="D515" i="1"/>
  <c r="D183" i="1"/>
  <c r="D681" i="1"/>
  <c r="D871" i="1"/>
  <c r="D816" i="1"/>
  <c r="D970" i="1"/>
  <c r="D211" i="1"/>
  <c r="D322" i="1"/>
  <c r="D992" i="1"/>
  <c r="D561" i="1"/>
  <c r="D11" i="1"/>
  <c r="D699" i="1"/>
  <c r="D363" i="1"/>
  <c r="D426" i="1"/>
  <c r="D257" i="1"/>
  <c r="D634" i="1"/>
  <c r="D671" i="1"/>
  <c r="D873" i="1"/>
  <c r="D67" i="1"/>
  <c r="D1045" i="1"/>
  <c r="D903" i="1"/>
  <c r="D521" i="1"/>
  <c r="D682" i="1"/>
  <c r="D122" i="1"/>
  <c r="D541" i="1"/>
  <c r="D130" i="1"/>
  <c r="D834" i="1"/>
  <c r="D972" i="1"/>
  <c r="D479" i="1"/>
  <c r="D1170" i="1"/>
  <c r="D1100" i="1"/>
  <c r="D628" i="1"/>
  <c r="D451" i="1"/>
  <c r="D548" i="1"/>
  <c r="D445" i="1"/>
  <c r="D664" i="1"/>
  <c r="D1165" i="1"/>
  <c r="D550" i="1"/>
  <c r="D438" i="1"/>
  <c r="D453" i="1"/>
  <c r="D431" i="1"/>
  <c r="D87" i="1"/>
  <c r="D905" i="1"/>
  <c r="D624" i="1"/>
  <c r="D779" i="1"/>
  <c r="D656" i="1"/>
  <c r="D48" i="1"/>
  <c r="D729" i="1"/>
  <c r="D225" i="1"/>
  <c r="D270" i="1"/>
  <c r="D302" i="1"/>
  <c r="D408" i="1"/>
  <c r="D803" i="1"/>
  <c r="D1103" i="1"/>
  <c r="D876" i="1"/>
  <c r="D920" i="1"/>
  <c r="D969" i="1"/>
  <c r="D738" i="1"/>
  <c r="D832" i="1"/>
  <c r="D686" i="1"/>
  <c r="D170" i="1"/>
  <c r="D6" i="1"/>
  <c r="D762" i="1"/>
  <c r="D60" i="1"/>
  <c r="D994" i="1"/>
  <c r="D38" i="1"/>
  <c r="D886" i="1"/>
  <c r="D1013" i="1"/>
  <c r="D152" i="1"/>
  <c r="D590" i="1"/>
  <c r="D167" i="1"/>
  <c r="D343" i="1"/>
  <c r="D865" i="1"/>
  <c r="D168" i="1"/>
  <c r="D910" i="1"/>
  <c r="D1111" i="1"/>
  <c r="D289" i="1"/>
  <c r="D979" i="1"/>
  <c r="D56" i="1"/>
  <c r="D1144" i="1"/>
  <c r="D271" i="1"/>
  <c r="D1072" i="1"/>
  <c r="D924" i="1"/>
  <c r="D433" i="1"/>
  <c r="D626" i="1"/>
  <c r="D1136" i="1"/>
  <c r="D1112" i="1"/>
  <c r="D598" i="1"/>
  <c r="D134" i="1"/>
  <c r="D544" i="1"/>
  <c r="D297" i="1"/>
  <c r="D615" i="1"/>
  <c r="D94" i="1"/>
  <c r="D654" i="1"/>
  <c r="D1092" i="1"/>
  <c r="D623" i="1"/>
  <c r="D723" i="1"/>
  <c r="D862" i="1"/>
  <c r="D743" i="1"/>
  <c r="D154" i="1"/>
  <c r="D19" i="1"/>
  <c r="D402" i="1"/>
  <c r="D153" i="1"/>
  <c r="D859" i="1"/>
  <c r="D309" i="1"/>
  <c r="D559" i="1"/>
  <c r="D114" i="1"/>
  <c r="D734" i="1"/>
  <c r="D97" i="1"/>
  <c r="D260" i="1"/>
  <c r="D1150" i="1"/>
  <c r="D100" i="1"/>
  <c r="D259" i="1"/>
  <c r="D16" i="1"/>
  <c r="D528" i="1"/>
  <c r="D381" i="1"/>
  <c r="D922" i="1"/>
  <c r="D125" i="1"/>
  <c r="D936" i="1"/>
  <c r="D1087" i="1"/>
  <c r="D921" i="1"/>
  <c r="D473" i="1"/>
  <c r="D1067" i="1"/>
  <c r="D864" i="1"/>
  <c r="D202" i="1"/>
  <c r="D80" i="1"/>
  <c r="D7" i="1"/>
  <c r="D9" i="1"/>
  <c r="D3" i="1"/>
  <c r="D764" i="1"/>
  <c r="D657" i="1"/>
  <c r="D1023" i="1"/>
  <c r="D1177" i="1"/>
  <c r="D1176" i="1"/>
  <c r="D331" i="1"/>
  <c r="D1108" i="1"/>
  <c r="D698" i="1"/>
  <c r="D822" i="1"/>
  <c r="D487" i="1"/>
  <c r="D940" i="1"/>
  <c r="D831" i="1"/>
  <c r="D736" i="1"/>
  <c r="D730" i="1"/>
  <c r="D918" i="1"/>
  <c r="D463" i="1"/>
  <c r="D878" i="1"/>
  <c r="D625" i="1"/>
  <c r="D912" i="1"/>
  <c r="D314" i="1"/>
  <c r="D649" i="1"/>
  <c r="D1123" i="1"/>
  <c r="D666" i="1"/>
  <c r="D160" i="1"/>
  <c r="D560" i="1"/>
  <c r="D416" i="1"/>
  <c r="D817" i="1"/>
  <c r="D157" i="1"/>
  <c r="D793" i="1"/>
  <c r="D525" i="1"/>
  <c r="D744" i="1"/>
  <c r="D443" i="1"/>
  <c r="D568" i="1"/>
  <c r="D767" i="1"/>
  <c r="D648" i="1"/>
  <c r="D394" i="1"/>
  <c r="D770" i="1"/>
  <c r="D269" i="1"/>
  <c r="D712" i="1"/>
  <c r="D848" i="1"/>
  <c r="D1093" i="1"/>
  <c r="D551" i="1"/>
  <c r="D78" i="1"/>
  <c r="D493" i="1"/>
  <c r="D24" i="1"/>
  <c r="D583" i="1"/>
  <c r="D329" i="1"/>
  <c r="D301" i="1"/>
  <c r="D446" i="1"/>
  <c r="D178" i="1"/>
  <c r="D406" i="1"/>
  <c r="D627" i="1"/>
  <c r="D869" i="1"/>
  <c r="D610" i="1"/>
  <c r="D731" i="1"/>
  <c r="D1162" i="1"/>
  <c r="D132" i="1"/>
  <c r="D752" i="1"/>
  <c r="D281" i="1"/>
  <c r="D466" i="1"/>
  <c r="D562" i="1"/>
  <c r="D539" i="1"/>
  <c r="D173" i="1"/>
  <c r="D954" i="1"/>
  <c r="D925" i="1"/>
  <c r="D509" i="1"/>
  <c r="D763" i="1"/>
  <c r="D1068" i="1"/>
  <c r="D393" i="1"/>
  <c r="D489" i="1"/>
  <c r="D967" i="1"/>
  <c r="D569" i="1"/>
  <c r="D1125" i="1"/>
  <c r="D1159" i="1"/>
  <c r="D361" i="1"/>
  <c r="D852" i="1"/>
  <c r="D121" i="1"/>
  <c r="D104" i="1"/>
  <c r="D537" i="1"/>
  <c r="D194" i="1"/>
  <c r="D983" i="1"/>
  <c r="D18" i="1"/>
  <c r="D1024" i="1"/>
  <c r="D893" i="1"/>
  <c r="D851" i="1"/>
  <c r="D1030" i="1"/>
  <c r="D708" i="1"/>
  <c r="D127" i="1"/>
  <c r="D258" i="1"/>
  <c r="D813" i="1"/>
  <c r="D49" i="1"/>
  <c r="D228" i="1"/>
  <c r="D985" i="1"/>
  <c r="D884" i="1"/>
  <c r="D830" i="1"/>
  <c r="D1110" i="1"/>
  <c r="D827" i="1"/>
  <c r="D988" i="1"/>
  <c r="D946" i="1"/>
  <c r="D987" i="1"/>
  <c r="D960" i="1"/>
  <c r="D31" i="1"/>
  <c r="D707" i="1"/>
  <c r="D496" i="1"/>
  <c r="D514" i="1"/>
  <c r="D527" i="1"/>
  <c r="D276" i="1"/>
  <c r="D772" i="1"/>
  <c r="D879" i="1"/>
  <c r="D1126" i="1"/>
  <c r="D1038" i="1"/>
  <c r="D1091" i="1"/>
  <c r="D889" i="1"/>
  <c r="D870" i="1"/>
  <c r="D908" i="1"/>
  <c r="D839" i="1"/>
  <c r="D808" i="1"/>
  <c r="D993" i="1"/>
  <c r="D480" i="1"/>
  <c r="D913" i="1"/>
  <c r="D1076" i="1"/>
  <c r="D990" i="1"/>
  <c r="D614" i="1"/>
  <c r="D220" i="1"/>
  <c r="D477" i="1"/>
  <c r="D592" i="1"/>
  <c r="D419" i="1"/>
  <c r="D534" i="1"/>
  <c r="D330" i="1"/>
  <c r="D95" i="1"/>
  <c r="D174" i="1"/>
  <c r="D45" i="1"/>
  <c r="D606" i="1"/>
  <c r="D998" i="1"/>
  <c r="D1132" i="1"/>
  <c r="D906" i="1"/>
  <c r="D256" i="1"/>
  <c r="D553" i="1"/>
  <c r="D310" i="1"/>
  <c r="D264" i="1"/>
  <c r="D346" i="1"/>
  <c r="D72" i="1"/>
  <c r="D896" i="1"/>
  <c r="D980" i="1"/>
  <c r="D499" i="1"/>
  <c r="D417" i="1"/>
  <c r="D782" i="1"/>
  <c r="D505" i="1"/>
  <c r="D1101" i="1"/>
  <c r="D403" i="1"/>
  <c r="D490" i="1"/>
  <c r="D820" i="1"/>
  <c r="D475" i="1"/>
  <c r="D66" i="1"/>
  <c r="D1007" i="1"/>
  <c r="D1036" i="1"/>
  <c r="D1035" i="1"/>
  <c r="D201" i="1"/>
  <c r="D470" i="1"/>
  <c r="D909" i="1"/>
  <c r="D965" i="1"/>
  <c r="D312" i="1"/>
  <c r="D176" i="1"/>
  <c r="D596" i="1"/>
  <c r="D773" i="1"/>
  <c r="D93" i="1"/>
  <c r="D26" i="1"/>
  <c r="D348" i="1"/>
  <c r="D599" i="1"/>
  <c r="D775" i="1"/>
  <c r="D805" i="1"/>
  <c r="D15" i="1"/>
  <c r="D52" i="1"/>
  <c r="D809" i="1"/>
  <c r="D1027" i="1"/>
  <c r="D1168" i="1"/>
  <c r="D687" i="1"/>
  <c r="D266" i="1"/>
  <c r="D481" i="1"/>
  <c r="D1096" i="1"/>
  <c r="D14" i="1"/>
  <c r="D106" i="1"/>
  <c r="D375" i="1"/>
  <c r="D2" i="1"/>
  <c r="D733" i="1"/>
  <c r="D409" i="1"/>
  <c r="D478" i="1"/>
  <c r="D336" i="1"/>
  <c r="D883" i="1"/>
  <c r="D387" i="1"/>
  <c r="D33" i="1"/>
  <c r="D748" i="1"/>
  <c r="D902" i="1"/>
  <c r="D299" i="1"/>
  <c r="D1054" i="1"/>
  <c r="D555" i="1"/>
  <c r="D148" i="1"/>
  <c r="D895" i="1"/>
  <c r="D838" i="1"/>
  <c r="D828" i="1"/>
  <c r="D978" i="1"/>
  <c r="D932" i="1"/>
  <c r="D495" i="1"/>
  <c r="D390" i="1"/>
  <c r="D1156" i="1"/>
  <c r="D999" i="1"/>
  <c r="D564" i="1"/>
  <c r="D137" i="1"/>
  <c r="D1158" i="1"/>
  <c r="D1145" i="1"/>
  <c r="D1021" i="1"/>
  <c r="D856" i="1"/>
  <c r="D10" i="1"/>
  <c r="D520" i="1"/>
  <c r="D508" i="1"/>
  <c r="D725" i="1"/>
  <c r="D318" i="1"/>
  <c r="D677" i="1"/>
  <c r="D814" i="1"/>
  <c r="D233" i="1"/>
  <c r="D1138" i="1"/>
  <c r="D388" i="1"/>
  <c r="D187" i="1"/>
  <c r="D609" i="1"/>
  <c r="D250" i="1"/>
  <c r="D85" i="1"/>
  <c r="D261" i="1"/>
  <c r="D298" i="1"/>
  <c r="D726" i="1"/>
  <c r="D1002" i="1"/>
  <c r="D1104" i="1"/>
  <c r="D811" i="1"/>
  <c r="D102" i="1"/>
  <c r="D575" i="1"/>
  <c r="D180" i="1"/>
  <c r="D193" i="1"/>
  <c r="D1154" i="1"/>
  <c r="D113" i="1"/>
  <c r="D660" i="1"/>
  <c r="D179" i="1"/>
  <c r="D1153" i="1"/>
  <c r="D128" i="1"/>
  <c r="D131" i="1"/>
  <c r="D62" i="1"/>
  <c r="D517" i="1"/>
  <c r="D702" i="1"/>
  <c r="D751" i="1"/>
  <c r="D222" i="1"/>
  <c r="D108" i="1"/>
  <c r="D88" i="1"/>
  <c r="D21" i="1"/>
  <c r="D1069" i="1"/>
  <c r="D492" i="1"/>
  <c r="D42" i="1"/>
  <c r="D1055" i="1"/>
  <c r="D420" i="1"/>
  <c r="D650" i="1"/>
  <c r="D12" i="1"/>
  <c r="D171" i="1"/>
  <c r="D111" i="1"/>
  <c r="D47" i="1"/>
  <c r="D452" i="1"/>
  <c r="D558" i="1"/>
  <c r="D99" i="1"/>
  <c r="D458" i="1"/>
  <c r="D418" i="1"/>
  <c r="D663" i="1"/>
  <c r="D1018" i="1"/>
  <c r="D759" i="1"/>
  <c r="D396" i="1"/>
  <c r="D1005" i="1"/>
  <c r="D380" i="1"/>
  <c r="D1124" i="1"/>
  <c r="D881" i="1"/>
  <c r="D927" i="1"/>
  <c r="D957" i="1"/>
  <c r="D875" i="1"/>
  <c r="D248" i="1"/>
  <c r="D1114" i="1"/>
  <c r="D740" i="1"/>
  <c r="D1118" i="1"/>
  <c r="D82" i="1"/>
  <c r="D621" i="1"/>
  <c r="D415" i="1"/>
  <c r="D907" i="1"/>
  <c r="D117" i="1"/>
  <c r="D295" i="1"/>
  <c r="D17" i="1"/>
  <c r="D192" i="1"/>
  <c r="D1079" i="1"/>
  <c r="D1149" i="1"/>
  <c r="D143" i="1"/>
  <c r="D272" i="1"/>
  <c r="D574" i="1"/>
  <c r="D777" i="1"/>
  <c r="D68" i="1"/>
  <c r="D105" i="1"/>
  <c r="D589" i="1"/>
  <c r="D216" i="1"/>
  <c r="D582" i="1"/>
  <c r="D1105" i="1"/>
  <c r="D116" i="1"/>
  <c r="D1056" i="1"/>
  <c r="D467" i="1"/>
  <c r="D745" i="1"/>
  <c r="D601" i="1"/>
  <c r="D435" i="1"/>
  <c r="D442" i="1"/>
  <c r="D198" i="1"/>
  <c r="D1171" i="1"/>
  <c r="D945" i="1"/>
  <c r="D53" i="1"/>
  <c r="D144" i="1"/>
  <c r="D696" i="1"/>
  <c r="D39" i="1"/>
  <c r="D296" i="1"/>
  <c r="D27" i="1"/>
  <c r="D188" i="1"/>
  <c r="D57" i="1"/>
  <c r="D217" i="1"/>
  <c r="D120" i="1"/>
  <c r="D126" i="1"/>
  <c r="D292" i="1"/>
  <c r="D675" i="1"/>
  <c r="D205" i="1"/>
  <c r="D159" i="1"/>
  <c r="D244" i="1"/>
  <c r="D285" i="1"/>
  <c r="D425" i="1"/>
  <c r="D243" i="1"/>
  <c r="D1058" i="1"/>
  <c r="D524" i="1"/>
  <c r="D1143" i="1"/>
  <c r="D812" i="1"/>
  <c r="D424" i="1"/>
  <c r="D815" i="1"/>
  <c r="D335" i="1"/>
  <c r="D658" i="1"/>
  <c r="D158" i="1"/>
  <c r="D34" i="1"/>
  <c r="D138" i="1"/>
  <c r="D73" i="1"/>
  <c r="D661" i="1"/>
  <c r="D804" i="1"/>
  <c r="D164" i="1"/>
  <c r="D41" i="1"/>
  <c r="D30" i="1"/>
  <c r="D1000" i="1"/>
  <c r="D1172" i="1"/>
  <c r="D1047" i="1"/>
  <c r="D974" i="1"/>
  <c r="D538" i="1"/>
  <c r="D382" i="1"/>
  <c r="D199" i="1"/>
  <c r="D218" i="1"/>
  <c r="D234" i="1"/>
  <c r="D238" i="1"/>
  <c r="D647" i="1"/>
  <c r="D701" i="1"/>
  <c r="D376" i="1"/>
  <c r="D1139" i="1"/>
  <c r="D98" i="1"/>
  <c r="D89" i="1"/>
  <c r="D1057" i="1"/>
  <c r="D283" i="1"/>
  <c r="D507" i="1"/>
  <c r="D196" i="1"/>
  <c r="D210" i="1"/>
  <c r="D92" i="1"/>
  <c r="D37" i="1"/>
  <c r="D1121" i="1"/>
  <c r="D395" i="1"/>
  <c r="D497" i="1"/>
  <c r="D577" i="1"/>
  <c r="D789" i="1"/>
  <c r="D421" i="1"/>
  <c r="D1009" i="1"/>
  <c r="D801" i="1"/>
  <c r="D689" i="1"/>
  <c r="D411" i="1"/>
  <c r="D622" i="1"/>
  <c r="D710" i="1"/>
  <c r="D503" i="1"/>
  <c r="D184" i="1"/>
  <c r="D230" i="1"/>
  <c r="D65" i="1"/>
  <c r="D197" i="1"/>
  <c r="D200" i="1"/>
  <c r="D947" i="1"/>
  <c r="D401" i="1"/>
  <c r="D711" i="1"/>
  <c r="D319" i="1"/>
  <c r="D118" i="1"/>
  <c r="D819" i="1"/>
  <c r="D110" i="1"/>
  <c r="D229" i="1"/>
  <c r="D597" i="1"/>
  <c r="D77" i="1"/>
  <c r="D362" i="1"/>
  <c r="D430" i="1"/>
  <c r="D293" i="1"/>
  <c r="D360" i="1"/>
  <c r="D368" i="1"/>
  <c r="D1157" i="1"/>
  <c r="D1128" i="1"/>
  <c r="D1127" i="1"/>
  <c r="D447" i="1"/>
  <c r="D641" i="1"/>
  <c r="D204" i="1"/>
  <c r="D189" i="1"/>
  <c r="D542" i="1"/>
  <c r="D629" i="1"/>
  <c r="D365" i="1"/>
  <c r="D741" i="1"/>
  <c r="D855" i="1"/>
  <c r="D129" i="1"/>
  <c r="D133" i="1"/>
  <c r="D444" i="1"/>
  <c r="D659" i="1"/>
  <c r="D69" i="1"/>
  <c r="D29" i="1"/>
  <c r="D242" i="1"/>
  <c r="D676" i="1"/>
  <c r="D84" i="1"/>
  <c r="D867" i="1"/>
  <c r="D1082" i="1"/>
  <c r="D71" i="1"/>
  <c r="D1062" i="1"/>
  <c r="D441" i="1"/>
  <c r="D46" i="1"/>
  <c r="D214" i="1"/>
  <c r="D274" i="1"/>
  <c r="D780" i="1"/>
  <c r="D719" i="1"/>
  <c r="D716" i="1"/>
  <c r="D429" i="1"/>
  <c r="D374" i="1"/>
  <c r="D1026" i="1"/>
  <c r="D771" i="1"/>
  <c r="D145" i="1"/>
  <c r="D378" i="1"/>
  <c r="D355" i="1"/>
  <c r="D565" i="1"/>
  <c r="D397" i="1"/>
  <c r="D579" i="1"/>
  <c r="D643" i="1"/>
  <c r="D504" i="1"/>
  <c r="D923" i="1"/>
  <c r="D332" i="1"/>
  <c r="D556" i="1"/>
  <c r="D885" i="1"/>
  <c r="D207" i="1"/>
  <c r="D70" i="1"/>
  <c r="D437" i="1"/>
  <c r="D1167" i="1"/>
  <c r="D1016" i="1"/>
  <c r="D224" i="1"/>
  <c r="D236" i="1"/>
  <c r="D96" i="1"/>
  <c r="D8" i="1"/>
  <c r="D996" i="1"/>
  <c r="D58" i="1"/>
  <c r="D1160" i="1"/>
  <c r="D20" i="1"/>
  <c r="D840" i="1"/>
  <c r="D938" i="1"/>
  <c r="D23" i="1"/>
  <c r="D13" i="1"/>
  <c r="D156" i="1"/>
  <c r="D90" i="1"/>
  <c r="D474" i="1"/>
  <c r="D890" i="1"/>
  <c r="D1011" i="1"/>
  <c r="D1133" i="1"/>
  <c r="D1161" i="1"/>
  <c r="D778" i="1"/>
  <c r="D1152" i="1"/>
  <c r="D1169" i="1"/>
  <c r="D863" i="1"/>
  <c r="D959" i="1"/>
  <c r="D1031" i="1"/>
  <c r="D1010" i="1"/>
  <c r="D792" i="1"/>
  <c r="D502" i="1"/>
  <c r="D580" i="1"/>
  <c r="D1086" i="1"/>
  <c r="D383" i="1"/>
  <c r="D288" i="1"/>
  <c r="D172" i="1"/>
  <c r="D769" i="1"/>
  <c r="D742" i="1"/>
  <c r="D847" i="1"/>
  <c r="D1147" i="1"/>
  <c r="D1173" i="1"/>
  <c r="D1049" i="1"/>
  <c r="D483" i="1"/>
  <c r="D807" i="1"/>
  <c r="D1046" i="1"/>
  <c r="D352" i="1"/>
  <c r="D450" i="1"/>
  <c r="D523" i="1"/>
  <c r="D457" i="1"/>
  <c r="D1129" i="1"/>
  <c r="D1102" i="1"/>
  <c r="D1085" i="1"/>
  <c r="D653" i="1"/>
  <c r="D563" i="1"/>
  <c r="D973" i="1"/>
  <c r="D1117" i="1"/>
  <c r="D1115" i="1"/>
  <c r="D678" i="1"/>
  <c r="D1140" i="1"/>
  <c r="D705" i="1"/>
  <c r="D1097" i="1"/>
  <c r="D1042" i="1"/>
  <c r="D1012" i="1"/>
  <c r="D386" i="1"/>
  <c r="D277" i="1"/>
  <c r="D263" i="1"/>
  <c r="D370" i="1"/>
  <c r="D1107" i="1"/>
  <c r="D715" i="1"/>
  <c r="D963" i="1"/>
  <c r="D806" i="1"/>
  <c r="D997" i="1"/>
  <c r="D981" i="1"/>
  <c r="D22" i="1"/>
  <c r="D781" i="1"/>
  <c r="D916" i="1"/>
  <c r="D286" i="1"/>
  <c r="D818" i="1"/>
  <c r="D956" i="1"/>
  <c r="D1001" i="1"/>
  <c r="D536" i="1"/>
  <c r="D581" i="1"/>
  <c r="D651" i="1"/>
  <c r="D1048" i="1"/>
  <c r="D1006" i="1"/>
  <c r="D135" i="1"/>
  <c r="D1029" i="1"/>
  <c r="D472" i="1"/>
  <c r="D1084" i="1"/>
  <c r="D1116" i="1"/>
  <c r="D746" i="1"/>
  <c r="D1015" i="1"/>
  <c r="D1065" i="1"/>
  <c r="D952" i="1"/>
  <c r="D1120" i="1"/>
  <c r="D1089" i="1"/>
  <c r="D636" i="1"/>
  <c r="D755" i="1"/>
  <c r="D353" i="1"/>
  <c r="D785" i="1"/>
  <c r="D484" i="1"/>
  <c r="D554" i="1"/>
  <c r="D1020" i="1"/>
  <c r="D837" i="1"/>
  <c r="D722" i="1"/>
  <c r="D900" i="1"/>
  <c r="D757" i="1"/>
  <c r="D955" i="1"/>
  <c r="D826" i="1"/>
  <c r="D1174" i="1"/>
  <c r="D882" i="1"/>
  <c r="D385" i="1"/>
  <c r="D732" i="1"/>
  <c r="D917" i="1"/>
  <c r="D231" i="1"/>
  <c r="D175" i="1"/>
  <c r="D1131" i="1"/>
  <c r="D760" i="1"/>
  <c r="D1003" i="1"/>
  <c r="D1033" i="1"/>
  <c r="D358" i="1"/>
  <c r="D529" i="1"/>
  <c r="D617" i="1"/>
  <c r="D768" i="1"/>
  <c r="D327" i="1"/>
  <c r="D858" i="1"/>
  <c r="D354" i="1"/>
  <c r="D611" i="1"/>
  <c r="D209" i="1"/>
  <c r="D494" i="1"/>
  <c r="D646" i="1"/>
  <c r="D547" i="1"/>
  <c r="D557" i="1"/>
  <c r="D669" i="1"/>
  <c r="D305" i="1"/>
  <c r="D141" i="1"/>
  <c r="D491" i="1"/>
  <c r="D203" i="1"/>
  <c r="D349" i="1"/>
  <c r="D866" i="1"/>
  <c r="D934" i="1"/>
  <c r="D405" i="1"/>
  <c r="D1064" i="1"/>
  <c r="D1041" i="1"/>
  <c r="D728" i="1"/>
  <c r="D749" i="1"/>
  <c r="D1134" i="1"/>
  <c r="D1130" i="1"/>
  <c r="D462" i="1"/>
  <c r="D860" i="1"/>
  <c r="D619" i="1"/>
  <c r="D413" i="1"/>
  <c r="D1094" i="1"/>
  <c r="D540" i="1"/>
  <c r="D587" i="1"/>
  <c r="D835" i="1"/>
  <c r="D1078" i="1"/>
  <c r="D1142" i="1"/>
  <c r="D787" i="1"/>
  <c r="D439" i="1"/>
  <c r="D1070" i="1"/>
  <c r="D440" i="1"/>
  <c r="D344" i="1"/>
  <c r="D498" i="1"/>
  <c r="D280" i="1"/>
  <c r="D854" i="1"/>
  <c r="D727" i="1"/>
  <c r="D1044" i="1"/>
  <c r="D958" i="1"/>
  <c r="D512" i="1"/>
  <c r="D637" i="1"/>
  <c r="D857" i="1"/>
  <c r="D262" i="1"/>
  <c r="D246" i="1"/>
  <c r="D284" i="1"/>
  <c r="D600" i="1"/>
  <c r="D482" i="1"/>
  <c r="D756" i="1"/>
  <c r="D1122" i="1"/>
  <c r="D147" i="1"/>
  <c r="D51" i="1"/>
  <c r="D1066" i="1"/>
  <c r="D1022" i="1"/>
  <c r="D291" i="1"/>
  <c r="D267" i="1"/>
  <c r="D1074" i="1"/>
  <c r="D86" i="1"/>
  <c r="D333" i="1"/>
  <c r="D995" i="1"/>
  <c r="D44" i="1"/>
  <c r="D1106" i="1"/>
  <c r="D320" i="1"/>
  <c r="D1163" i="1"/>
  <c r="D169" i="1"/>
  <c r="D1037" i="1"/>
  <c r="D642" i="1"/>
  <c r="D928" i="1"/>
  <c r="D783" i="1"/>
  <c r="D794" i="1"/>
  <c r="D449" i="1"/>
  <c r="D966" i="1"/>
  <c r="D535" i="1"/>
  <c r="D115" i="1"/>
  <c r="D849" i="1"/>
  <c r="D1151" i="1"/>
  <c r="D691" i="1"/>
  <c r="D964" i="1"/>
  <c r="D241" i="1"/>
  <c r="D713" i="1"/>
  <c r="D688" i="1"/>
  <c r="D613" i="1"/>
  <c r="D566" i="1"/>
  <c r="D984" i="1"/>
  <c r="D949" i="1"/>
  <c r="D308" i="1"/>
  <c r="D223" i="1"/>
  <c r="D83" i="1"/>
  <c r="D328" i="1"/>
  <c r="D208" i="1"/>
  <c r="D549" i="1"/>
  <c r="D436" i="1"/>
  <c r="D213" i="1"/>
  <c r="D379" i="1"/>
  <c r="D607" i="1"/>
  <c r="D1148" i="1"/>
  <c r="D796" i="1"/>
  <c r="D1059" i="1"/>
  <c r="D1098" i="1"/>
  <c r="D1083" i="1"/>
  <c r="D414" i="1"/>
  <c r="D190" i="1"/>
  <c r="D91" i="1"/>
  <c r="D519" i="1"/>
  <c r="D673" i="1"/>
  <c r="D341" i="1"/>
  <c r="D377" i="1"/>
  <c r="D1081" i="1"/>
  <c r="D1137" i="1"/>
  <c r="D1051" i="1"/>
  <c r="D531" i="1"/>
  <c r="D500" i="1"/>
  <c r="D576" i="1"/>
  <c r="D665" i="1"/>
  <c r="D311" i="1"/>
  <c r="D693" i="1"/>
  <c r="D32" i="1"/>
  <c r="D55" i="1"/>
  <c r="D680" i="1"/>
  <c r="D545" i="1"/>
  <c r="D573" i="1"/>
  <c r="D459" i="1"/>
  <c r="D753" i="1"/>
  <c r="D356" i="1"/>
  <c r="D367" i="1"/>
  <c r="D316" i="1"/>
  <c r="D338" i="1"/>
  <c r="D684" i="1"/>
  <c r="D836" i="1"/>
  <c r="D888" i="1"/>
  <c r="D1032" i="1"/>
  <c r="D894" i="1"/>
  <c r="D81" i="1"/>
  <c r="D36" i="1"/>
  <c r="D891" i="1"/>
  <c r="D991" i="1"/>
  <c r="D1053" i="1"/>
  <c r="D872" i="1"/>
  <c r="D939" i="1"/>
  <c r="D1166" i="1"/>
  <c r="D761" i="1"/>
  <c r="D340" i="1"/>
  <c r="D75" i="1"/>
  <c r="D54" i="1"/>
  <c r="D670" i="1"/>
  <c r="D155" i="1"/>
  <c r="D339" i="1"/>
  <c r="D300" i="1"/>
  <c r="D315" i="1"/>
  <c r="D307" i="1"/>
  <c r="D323" i="1"/>
  <c r="D933" i="1"/>
  <c r="D799" i="1"/>
  <c r="D788" i="1"/>
  <c r="D798" i="1"/>
  <c r="D1090" i="1"/>
  <c r="D877" i="1"/>
  <c r="D161" i="1"/>
  <c r="D212" i="1"/>
  <c r="D389" i="1"/>
  <c r="D899" i="1"/>
  <c r="D638" i="1"/>
  <c r="D571" i="1"/>
  <c r="D1040" i="1"/>
  <c r="D464" i="1"/>
  <c r="D1073" i="1"/>
  <c r="D774" i="1"/>
  <c r="D140" i="1"/>
  <c r="D578" i="1"/>
  <c r="D215" i="1"/>
  <c r="D1025" i="1"/>
  <c r="D953" i="1"/>
  <c r="D635" i="1"/>
  <c r="D652" i="1"/>
  <c r="D432" i="1"/>
  <c r="D76" i="1"/>
  <c r="D823" i="1"/>
  <c r="D275" i="1"/>
  <c r="D290" i="1"/>
  <c r="D584" i="1"/>
  <c r="D351" i="1"/>
  <c r="D345" i="1"/>
  <c r="D325" i="1"/>
  <c r="D1077" i="1"/>
  <c r="D219" i="1"/>
  <c r="D392" i="1"/>
  <c r="D930" i="1"/>
  <c r="D50" i="1"/>
  <c r="D107" i="1"/>
  <c r="D347" i="1"/>
  <c r="D279" i="1"/>
  <c r="D1175" i="1"/>
  <c r="D694" i="1"/>
  <c r="D268" i="1"/>
  <c r="D119" i="1"/>
  <c r="D25" i="1"/>
  <c r="D59" i="1"/>
  <c r="D1164" i="1"/>
  <c r="D880" i="1"/>
  <c r="D404" i="1"/>
  <c r="D692" i="1"/>
  <c r="D422" i="1"/>
  <c r="D74" i="1"/>
  <c r="D186" i="1"/>
  <c r="D630" i="1"/>
  <c r="D833" i="1"/>
  <c r="D901" i="1"/>
  <c r="D605" i="1"/>
  <c r="D591" i="1"/>
  <c r="D593" i="1"/>
  <c r="D588" i="1"/>
  <c r="D821" i="1"/>
  <c r="D398" i="1"/>
  <c r="D951" i="1"/>
  <c r="D1113" i="1"/>
  <c r="D758" i="1"/>
  <c r="D802" i="1"/>
  <c r="D747" i="1"/>
  <c r="D841" i="1"/>
  <c r="D700" i="1"/>
  <c r="D721" i="1"/>
  <c r="D697" i="1"/>
  <c r="D667" i="1"/>
  <c r="D460" i="1"/>
  <c r="D631" i="1"/>
  <c r="D586" i="1"/>
  <c r="D313" i="1"/>
  <c r="D639" i="1"/>
  <c r="D704" i="1"/>
  <c r="D795" i="1"/>
  <c r="D904" i="1"/>
  <c r="D786" i="1"/>
  <c r="D709" i="1"/>
  <c r="D797" i="1"/>
  <c r="D843" i="1"/>
  <c r="D750" i="1"/>
  <c r="D784" i="1"/>
  <c r="D1052" i="1"/>
  <c r="D977" i="1"/>
  <c r="D1014" i="1"/>
  <c r="D410" i="1"/>
  <c r="D434" i="1"/>
  <c r="D303" i="1"/>
  <c r="D278" i="1"/>
  <c r="D249" i="1"/>
  <c r="D357" i="1"/>
  <c r="D364" i="1"/>
  <c r="D602" i="1"/>
  <c r="D690" i="1"/>
  <c r="D265" i="1"/>
  <c r="D232" i="1"/>
  <c r="D185" i="1"/>
  <c r="D252" i="1"/>
  <c r="D448" i="1"/>
  <c r="D359" i="1"/>
  <c r="D914" i="1"/>
  <c r="D975" i="1"/>
  <c r="D919" i="1"/>
  <c r="D976" i="1"/>
  <c r="D874" i="1"/>
  <c r="D720" i="1"/>
  <c r="D644" i="1"/>
  <c r="D829" i="1"/>
  <c r="D206" i="1"/>
  <c r="D428" i="1"/>
  <c r="D124" i="1"/>
  <c r="D247" i="1"/>
  <c r="D1063" i="1"/>
  <c r="D846" i="1"/>
  <c r="D845" i="1"/>
  <c r="D674" i="1"/>
  <c r="D1095" i="1"/>
  <c r="D1099" i="1"/>
  <c r="D608" i="1"/>
  <c r="D1071" i="1"/>
  <c r="D737" i="1"/>
  <c r="D861" i="1"/>
  <c r="D1075" i="1"/>
  <c r="D239" i="1"/>
  <c r="D282" i="1"/>
  <c r="D543" i="1"/>
  <c r="D645" i="1"/>
  <c r="D465" i="1"/>
  <c r="D227" i="1"/>
  <c r="D471" i="1"/>
  <c r="D640" i="1"/>
  <c r="D530" i="1"/>
  <c r="D455" i="1"/>
  <c r="D163" i="1"/>
  <c r="D461" i="1"/>
  <c r="D112" i="1"/>
  <c r="D162" i="1"/>
  <c r="D476" i="1"/>
  <c r="D5" i="1"/>
  <c r="D28" i="1"/>
  <c r="D868" i="1"/>
  <c r="D123" i="1"/>
  <c r="D522" i="1"/>
  <c r="D572" i="1"/>
  <c r="D195" i="1"/>
  <c r="D142" i="1"/>
  <c r="D151" i="1"/>
  <c r="D181" i="1"/>
  <c r="D165" i="1"/>
  <c r="D79" i="1"/>
  <c r="D149" i="1"/>
  <c r="D620" i="1"/>
  <c r="D306" i="1"/>
  <c r="D1119" i="1"/>
  <c r="D935" i="1"/>
  <c r="D546" i="1"/>
  <c r="D273" i="1"/>
  <c r="D469" i="1"/>
  <c r="D326" i="1"/>
  <c r="D1061" i="1"/>
  <c r="D511" i="1"/>
  <c r="D585" i="1"/>
  <c r="D423" i="1"/>
  <c r="D887" i="1"/>
  <c r="D825" i="1"/>
  <c r="D552" i="1"/>
  <c r="D926" i="1"/>
  <c r="D287" i="1"/>
  <c r="D371" i="1"/>
  <c r="D103" i="1"/>
  <c r="D518" i="1"/>
  <c r="D399" i="1"/>
  <c r="D407" i="1"/>
  <c r="D43" i="1"/>
  <c r="D294" i="1"/>
  <c r="D790" i="1"/>
  <c r="D240" i="1"/>
  <c r="D4" i="1"/>
  <c r="D718" i="1"/>
  <c r="D766" i="1"/>
  <c r="D191" i="1"/>
  <c r="D337" i="1"/>
  <c r="D986" i="1"/>
  <c r="D971" i="1"/>
  <c r="D989" i="1"/>
  <c r="D962" i="1"/>
  <c r="D567" i="1"/>
  <c r="D532" i="1"/>
  <c r="D1050" i="1"/>
  <c r="D1088" i="1"/>
  <c r="D513" i="1"/>
  <c r="D1008" i="1"/>
  <c r="D898" i="1"/>
  <c r="D892" i="1"/>
  <c r="D944" i="1"/>
  <c r="D943" i="1"/>
  <c r="D942" i="1"/>
  <c r="D897" i="1"/>
  <c r="D941" i="1"/>
  <c r="D570" i="1"/>
  <c r="D915" i="1"/>
  <c r="D824" i="1"/>
  <c r="D533" i="1"/>
  <c r="D724" i="1"/>
  <c r="D253" i="1"/>
  <c r="D844" i="1"/>
  <c r="D968" i="1"/>
  <c r="D810" i="1"/>
  <c r="D485" i="1"/>
  <c r="D1043" i="1"/>
  <c r="E714" i="1"/>
  <c r="E853" i="1"/>
  <c r="E506" i="1"/>
  <c r="E226" i="1"/>
  <c r="E254" i="1"/>
  <c r="E668" i="1"/>
  <c r="E334" i="1"/>
  <c r="E468" i="1"/>
  <c r="E1019" i="1"/>
  <c r="E662" i="1"/>
  <c r="E139" i="1"/>
  <c r="E63" i="1"/>
  <c r="E324" i="1"/>
  <c r="E1060" i="1"/>
  <c r="E1028" i="1"/>
  <c r="E604" i="1"/>
  <c r="E235" i="1"/>
  <c r="E427" i="1"/>
  <c r="E321" i="1"/>
  <c r="E931" i="1"/>
  <c r="E1146" i="1"/>
  <c r="E1155" i="1"/>
  <c r="E950" i="1"/>
  <c r="E776" i="1"/>
  <c r="E706" i="1"/>
  <c r="E391" i="1"/>
  <c r="E317" i="1"/>
  <c r="E717" i="1"/>
  <c r="E136" i="1"/>
  <c r="E61" i="1"/>
  <c r="E1004" i="1"/>
  <c r="E369" i="1"/>
  <c r="E516" i="1"/>
  <c r="E366" i="1"/>
  <c r="E739" i="1"/>
  <c r="E594" i="1"/>
  <c r="E842" i="1"/>
  <c r="E486" i="1"/>
  <c r="E911" i="1"/>
  <c r="E1034" i="1"/>
  <c r="E454" i="1"/>
  <c r="E937" i="1"/>
  <c r="E982" i="1"/>
  <c r="E1109" i="1"/>
  <c r="E488" i="1"/>
  <c r="E510" i="1"/>
  <c r="E1141" i="1"/>
  <c r="E456" i="1"/>
  <c r="E603" i="1"/>
  <c r="E685" i="1"/>
  <c r="E526" i="1"/>
  <c r="E683" i="1"/>
  <c r="E595" i="1"/>
  <c r="E703" i="1"/>
  <c r="E372" i="1"/>
  <c r="E501" i="1"/>
  <c r="E255" i="1"/>
  <c r="E412" i="1"/>
  <c r="E1178" i="1"/>
  <c r="E251" i="1"/>
  <c r="E1039" i="1"/>
  <c r="E1080" i="1"/>
  <c r="E1135" i="1"/>
  <c r="E612" i="1"/>
  <c r="E800" i="1"/>
  <c r="E929" i="1"/>
  <c r="E791" i="1"/>
  <c r="E350" i="1"/>
  <c r="E679" i="1"/>
  <c r="E616" i="1"/>
  <c r="E633" i="1"/>
  <c r="E632" i="1"/>
  <c r="E1017" i="1"/>
  <c r="E655" i="1"/>
  <c r="E672" i="1"/>
  <c r="E948" i="1"/>
  <c r="E400" i="1"/>
  <c r="E754" i="1"/>
  <c r="E695" i="1"/>
  <c r="E373" i="1"/>
  <c r="E221" i="1"/>
  <c r="E961" i="1"/>
  <c r="E735" i="1"/>
  <c r="E850" i="1"/>
  <c r="E182" i="1"/>
  <c r="E101" i="1"/>
  <c r="E765" i="1"/>
  <c r="E618" i="1"/>
  <c r="E304" i="1"/>
  <c r="E109" i="1"/>
  <c r="E342" i="1"/>
  <c r="E384" i="1"/>
  <c r="E150" i="1"/>
  <c r="E166" i="1"/>
  <c r="E146" i="1"/>
  <c r="E177" i="1"/>
  <c r="E35" i="1"/>
  <c r="E40" i="1"/>
  <c r="E64" i="1"/>
  <c r="E237" i="1"/>
  <c r="E245" i="1"/>
  <c r="E515" i="1"/>
  <c r="E183" i="1"/>
  <c r="E681" i="1"/>
  <c r="E871" i="1"/>
  <c r="E816" i="1"/>
  <c r="E970" i="1"/>
  <c r="E211" i="1"/>
  <c r="E322" i="1"/>
  <c r="E992" i="1"/>
  <c r="E561" i="1"/>
  <c r="E11" i="1"/>
  <c r="E699" i="1"/>
  <c r="E363" i="1"/>
  <c r="E426" i="1"/>
  <c r="E257" i="1"/>
  <c r="E634" i="1"/>
  <c r="E671" i="1"/>
  <c r="E873" i="1"/>
  <c r="E67" i="1"/>
  <c r="E1045" i="1"/>
  <c r="E903" i="1"/>
  <c r="E521" i="1"/>
  <c r="E682" i="1"/>
  <c r="E122" i="1"/>
  <c r="E541" i="1"/>
  <c r="E130" i="1"/>
  <c r="E834" i="1"/>
  <c r="E972" i="1"/>
  <c r="E479" i="1"/>
  <c r="E1170" i="1"/>
  <c r="E1100" i="1"/>
  <c r="E628" i="1"/>
  <c r="E451" i="1"/>
  <c r="E548" i="1"/>
  <c r="E445" i="1"/>
  <c r="E664" i="1"/>
  <c r="E1165" i="1"/>
  <c r="E550" i="1"/>
  <c r="E438" i="1"/>
  <c r="E453" i="1"/>
  <c r="E431" i="1"/>
  <c r="E87" i="1"/>
  <c r="E905" i="1"/>
  <c r="E624" i="1"/>
  <c r="E779" i="1"/>
  <c r="E656" i="1"/>
  <c r="E48" i="1"/>
  <c r="E729" i="1"/>
  <c r="E225" i="1"/>
  <c r="E270" i="1"/>
  <c r="E302" i="1"/>
  <c r="E408" i="1"/>
  <c r="E803" i="1"/>
  <c r="E1103" i="1"/>
  <c r="E876" i="1"/>
  <c r="E920" i="1"/>
  <c r="E969" i="1"/>
  <c r="E738" i="1"/>
  <c r="E832" i="1"/>
  <c r="E686" i="1"/>
  <c r="E170" i="1"/>
  <c r="E6" i="1"/>
  <c r="E762" i="1"/>
  <c r="E60" i="1"/>
  <c r="E994" i="1"/>
  <c r="E38" i="1"/>
  <c r="E886" i="1"/>
  <c r="E1013" i="1"/>
  <c r="E152" i="1"/>
  <c r="E590" i="1"/>
  <c r="E167" i="1"/>
  <c r="E343" i="1"/>
  <c r="E865" i="1"/>
  <c r="E168" i="1"/>
  <c r="E910" i="1"/>
  <c r="E1111" i="1"/>
  <c r="E289" i="1"/>
  <c r="E979" i="1"/>
  <c r="E56" i="1"/>
  <c r="E1144" i="1"/>
  <c r="E271" i="1"/>
  <c r="E1072" i="1"/>
  <c r="E924" i="1"/>
  <c r="E433" i="1"/>
  <c r="E626" i="1"/>
  <c r="E1136" i="1"/>
  <c r="E1112" i="1"/>
  <c r="E598" i="1"/>
  <c r="E134" i="1"/>
  <c r="E544" i="1"/>
  <c r="E297" i="1"/>
  <c r="E615" i="1"/>
  <c r="E94" i="1"/>
  <c r="E654" i="1"/>
  <c r="E1092" i="1"/>
  <c r="E623" i="1"/>
  <c r="E723" i="1"/>
  <c r="E862" i="1"/>
  <c r="E743" i="1"/>
  <c r="E154" i="1"/>
  <c r="E19" i="1"/>
  <c r="E402" i="1"/>
  <c r="E153" i="1"/>
  <c r="E859" i="1"/>
  <c r="E309" i="1"/>
  <c r="E559" i="1"/>
  <c r="E114" i="1"/>
  <c r="E734" i="1"/>
  <c r="E97" i="1"/>
  <c r="E260" i="1"/>
  <c r="E1150" i="1"/>
  <c r="E100" i="1"/>
  <c r="E259" i="1"/>
  <c r="E16" i="1"/>
  <c r="E528" i="1"/>
  <c r="E381" i="1"/>
  <c r="E922" i="1"/>
  <c r="E125" i="1"/>
  <c r="E936" i="1"/>
  <c r="E1087" i="1"/>
  <c r="E921" i="1"/>
  <c r="E473" i="1"/>
  <c r="E1067" i="1"/>
  <c r="E864" i="1"/>
  <c r="E202" i="1"/>
  <c r="E80" i="1"/>
  <c r="E7" i="1"/>
  <c r="E9" i="1"/>
  <c r="E3" i="1"/>
  <c r="E764" i="1"/>
  <c r="E657" i="1"/>
  <c r="E1023" i="1"/>
  <c r="E1177" i="1"/>
  <c r="E1176" i="1"/>
  <c r="E331" i="1"/>
  <c r="E1108" i="1"/>
  <c r="E698" i="1"/>
  <c r="E822" i="1"/>
  <c r="E487" i="1"/>
  <c r="E940" i="1"/>
  <c r="E831" i="1"/>
  <c r="E736" i="1"/>
  <c r="E730" i="1"/>
  <c r="E918" i="1"/>
  <c r="E463" i="1"/>
  <c r="E878" i="1"/>
  <c r="E625" i="1"/>
  <c r="E912" i="1"/>
  <c r="E314" i="1"/>
  <c r="E649" i="1"/>
  <c r="E1123" i="1"/>
  <c r="E666" i="1"/>
  <c r="E160" i="1"/>
  <c r="E560" i="1"/>
  <c r="E416" i="1"/>
  <c r="E817" i="1"/>
  <c r="E157" i="1"/>
  <c r="E793" i="1"/>
  <c r="E525" i="1"/>
  <c r="E744" i="1"/>
  <c r="E443" i="1"/>
  <c r="E568" i="1"/>
  <c r="E767" i="1"/>
  <c r="E648" i="1"/>
  <c r="E394" i="1"/>
  <c r="E770" i="1"/>
  <c r="E269" i="1"/>
  <c r="E712" i="1"/>
  <c r="E848" i="1"/>
  <c r="E1093" i="1"/>
  <c r="E551" i="1"/>
  <c r="E78" i="1"/>
  <c r="E493" i="1"/>
  <c r="E24" i="1"/>
  <c r="E583" i="1"/>
  <c r="E329" i="1"/>
  <c r="E301" i="1"/>
  <c r="E446" i="1"/>
  <c r="E178" i="1"/>
  <c r="E406" i="1"/>
  <c r="E627" i="1"/>
  <c r="E869" i="1"/>
  <c r="E610" i="1"/>
  <c r="E731" i="1"/>
  <c r="E1162" i="1"/>
  <c r="E132" i="1"/>
  <c r="E752" i="1"/>
  <c r="E281" i="1"/>
  <c r="E466" i="1"/>
  <c r="E562" i="1"/>
  <c r="E539" i="1"/>
  <c r="E173" i="1"/>
  <c r="E954" i="1"/>
  <c r="E925" i="1"/>
  <c r="E509" i="1"/>
  <c r="E763" i="1"/>
  <c r="E1068" i="1"/>
  <c r="E393" i="1"/>
  <c r="E489" i="1"/>
  <c r="E967" i="1"/>
  <c r="E569" i="1"/>
  <c r="E1125" i="1"/>
  <c r="E1159" i="1"/>
  <c r="E361" i="1"/>
  <c r="E852" i="1"/>
  <c r="E121" i="1"/>
  <c r="E104" i="1"/>
  <c r="E537" i="1"/>
  <c r="E194" i="1"/>
  <c r="E983" i="1"/>
  <c r="E18" i="1"/>
  <c r="E1024" i="1"/>
  <c r="E893" i="1"/>
  <c r="E851" i="1"/>
  <c r="E1030" i="1"/>
  <c r="E708" i="1"/>
  <c r="E127" i="1"/>
  <c r="E258" i="1"/>
  <c r="E813" i="1"/>
  <c r="E49" i="1"/>
  <c r="E228" i="1"/>
  <c r="E985" i="1"/>
  <c r="E884" i="1"/>
  <c r="E830" i="1"/>
  <c r="E1110" i="1"/>
  <c r="E827" i="1"/>
  <c r="E988" i="1"/>
  <c r="E946" i="1"/>
  <c r="E987" i="1"/>
  <c r="E960" i="1"/>
  <c r="E31" i="1"/>
  <c r="E707" i="1"/>
  <c r="E496" i="1"/>
  <c r="E514" i="1"/>
  <c r="E527" i="1"/>
  <c r="E276" i="1"/>
  <c r="E772" i="1"/>
  <c r="E879" i="1"/>
  <c r="E1126" i="1"/>
  <c r="E1038" i="1"/>
  <c r="E1091" i="1"/>
  <c r="E889" i="1"/>
  <c r="E870" i="1"/>
  <c r="E908" i="1"/>
  <c r="E839" i="1"/>
  <c r="E808" i="1"/>
  <c r="E993" i="1"/>
  <c r="E480" i="1"/>
  <c r="E913" i="1"/>
  <c r="E1076" i="1"/>
  <c r="E990" i="1"/>
  <c r="E614" i="1"/>
  <c r="E220" i="1"/>
  <c r="E477" i="1"/>
  <c r="E592" i="1"/>
  <c r="E419" i="1"/>
  <c r="E534" i="1"/>
  <c r="E330" i="1"/>
  <c r="E95" i="1"/>
  <c r="E174" i="1"/>
  <c r="E45" i="1"/>
  <c r="E606" i="1"/>
  <c r="E998" i="1"/>
  <c r="E1132" i="1"/>
  <c r="E906" i="1"/>
  <c r="E256" i="1"/>
  <c r="E553" i="1"/>
  <c r="E310" i="1"/>
  <c r="E264" i="1"/>
  <c r="E346" i="1"/>
  <c r="E72" i="1"/>
  <c r="E896" i="1"/>
  <c r="E980" i="1"/>
  <c r="E499" i="1"/>
  <c r="E417" i="1"/>
  <c r="E782" i="1"/>
  <c r="E505" i="1"/>
  <c r="E1101" i="1"/>
  <c r="E403" i="1"/>
  <c r="E490" i="1"/>
  <c r="E820" i="1"/>
  <c r="E475" i="1"/>
  <c r="E66" i="1"/>
  <c r="E1007" i="1"/>
  <c r="E1036" i="1"/>
  <c r="E1035" i="1"/>
  <c r="E201" i="1"/>
  <c r="E470" i="1"/>
  <c r="E909" i="1"/>
  <c r="E965" i="1"/>
  <c r="E312" i="1"/>
  <c r="E176" i="1"/>
  <c r="E596" i="1"/>
  <c r="E773" i="1"/>
  <c r="E93" i="1"/>
  <c r="E26" i="1"/>
  <c r="E348" i="1"/>
  <c r="E599" i="1"/>
  <c r="E775" i="1"/>
  <c r="E805" i="1"/>
  <c r="E15" i="1"/>
  <c r="E52" i="1"/>
  <c r="E809" i="1"/>
  <c r="E1027" i="1"/>
  <c r="E1168" i="1"/>
  <c r="E687" i="1"/>
  <c r="E266" i="1"/>
  <c r="E481" i="1"/>
  <c r="E1096" i="1"/>
  <c r="E14" i="1"/>
  <c r="E106" i="1"/>
  <c r="E375" i="1"/>
  <c r="E2" i="1"/>
  <c r="E733" i="1"/>
  <c r="E409" i="1"/>
  <c r="E478" i="1"/>
  <c r="E336" i="1"/>
  <c r="E883" i="1"/>
  <c r="E387" i="1"/>
  <c r="E33" i="1"/>
  <c r="E748" i="1"/>
  <c r="E902" i="1"/>
  <c r="E299" i="1"/>
  <c r="E1054" i="1"/>
  <c r="E555" i="1"/>
  <c r="E148" i="1"/>
  <c r="E895" i="1"/>
  <c r="E838" i="1"/>
  <c r="E828" i="1"/>
  <c r="E978" i="1"/>
  <c r="E932" i="1"/>
  <c r="E495" i="1"/>
  <c r="E390" i="1"/>
  <c r="E1156" i="1"/>
  <c r="E999" i="1"/>
  <c r="E564" i="1"/>
  <c r="E137" i="1"/>
  <c r="E1158" i="1"/>
  <c r="E1145" i="1"/>
  <c r="E1021" i="1"/>
  <c r="E856" i="1"/>
  <c r="E10" i="1"/>
  <c r="E520" i="1"/>
  <c r="E508" i="1"/>
  <c r="E725" i="1"/>
  <c r="E318" i="1"/>
  <c r="E677" i="1"/>
  <c r="E814" i="1"/>
  <c r="E233" i="1"/>
  <c r="E1138" i="1"/>
  <c r="E388" i="1"/>
  <c r="E187" i="1"/>
  <c r="E609" i="1"/>
  <c r="E250" i="1"/>
  <c r="E85" i="1"/>
  <c r="E261" i="1"/>
  <c r="E298" i="1"/>
  <c r="E726" i="1"/>
  <c r="E1002" i="1"/>
  <c r="E1104" i="1"/>
  <c r="E811" i="1"/>
  <c r="E102" i="1"/>
  <c r="E575" i="1"/>
  <c r="E180" i="1"/>
  <c r="E193" i="1"/>
  <c r="E1154" i="1"/>
  <c r="E113" i="1"/>
  <c r="E660" i="1"/>
  <c r="E179" i="1"/>
  <c r="E1153" i="1"/>
  <c r="E128" i="1"/>
  <c r="E131" i="1"/>
  <c r="E62" i="1"/>
  <c r="E517" i="1"/>
  <c r="E702" i="1"/>
  <c r="E751" i="1"/>
  <c r="E222" i="1"/>
  <c r="E108" i="1"/>
  <c r="E88" i="1"/>
  <c r="E21" i="1"/>
  <c r="E1069" i="1"/>
  <c r="E492" i="1"/>
  <c r="E42" i="1"/>
  <c r="E1055" i="1"/>
  <c r="E420" i="1"/>
  <c r="E650" i="1"/>
  <c r="E12" i="1"/>
  <c r="E171" i="1"/>
  <c r="E111" i="1"/>
  <c r="E47" i="1"/>
  <c r="E452" i="1"/>
  <c r="E558" i="1"/>
  <c r="E99" i="1"/>
  <c r="E458" i="1"/>
  <c r="E418" i="1"/>
  <c r="E663" i="1"/>
  <c r="E1018" i="1"/>
  <c r="E759" i="1"/>
  <c r="E396" i="1"/>
  <c r="E1005" i="1"/>
  <c r="E380" i="1"/>
  <c r="E1124" i="1"/>
  <c r="E881" i="1"/>
  <c r="E927" i="1"/>
  <c r="E957" i="1"/>
  <c r="E875" i="1"/>
  <c r="E248" i="1"/>
  <c r="E1114" i="1"/>
  <c r="E740" i="1"/>
  <c r="E1118" i="1"/>
  <c r="E82" i="1"/>
  <c r="E621" i="1"/>
  <c r="E415" i="1"/>
  <c r="E907" i="1"/>
  <c r="E117" i="1"/>
  <c r="E295" i="1"/>
  <c r="E17" i="1"/>
  <c r="E192" i="1"/>
  <c r="E1079" i="1"/>
  <c r="E1149" i="1"/>
  <c r="E143" i="1"/>
  <c r="E272" i="1"/>
  <c r="E574" i="1"/>
  <c r="E777" i="1"/>
  <c r="E68" i="1"/>
  <c r="E105" i="1"/>
  <c r="E589" i="1"/>
  <c r="E216" i="1"/>
  <c r="E582" i="1"/>
  <c r="E1105" i="1"/>
  <c r="E116" i="1"/>
  <c r="E1056" i="1"/>
  <c r="E467" i="1"/>
  <c r="E745" i="1"/>
  <c r="E601" i="1"/>
  <c r="E435" i="1"/>
  <c r="E442" i="1"/>
  <c r="E198" i="1"/>
  <c r="E1171" i="1"/>
  <c r="E945" i="1"/>
  <c r="E53" i="1"/>
  <c r="E144" i="1"/>
  <c r="E696" i="1"/>
  <c r="E39" i="1"/>
  <c r="E296" i="1"/>
  <c r="E27" i="1"/>
  <c r="E188" i="1"/>
  <c r="E57" i="1"/>
  <c r="E217" i="1"/>
  <c r="E120" i="1"/>
  <c r="E126" i="1"/>
  <c r="E292" i="1"/>
  <c r="E675" i="1"/>
  <c r="E205" i="1"/>
  <c r="E159" i="1"/>
  <c r="E244" i="1"/>
  <c r="E285" i="1"/>
  <c r="E425" i="1"/>
  <c r="E243" i="1"/>
  <c r="E1058" i="1"/>
  <c r="E524" i="1"/>
  <c r="E1143" i="1"/>
  <c r="E812" i="1"/>
  <c r="E424" i="1"/>
  <c r="E815" i="1"/>
  <c r="E335" i="1"/>
  <c r="E658" i="1"/>
  <c r="E158" i="1"/>
  <c r="E34" i="1"/>
  <c r="E138" i="1"/>
  <c r="E73" i="1"/>
  <c r="E661" i="1"/>
  <c r="E804" i="1"/>
  <c r="E164" i="1"/>
  <c r="E41" i="1"/>
  <c r="E30" i="1"/>
  <c r="E1000" i="1"/>
  <c r="E1172" i="1"/>
  <c r="E1047" i="1"/>
  <c r="E974" i="1"/>
  <c r="E538" i="1"/>
  <c r="E382" i="1"/>
  <c r="E199" i="1"/>
  <c r="E218" i="1"/>
  <c r="E234" i="1"/>
  <c r="E238" i="1"/>
  <c r="E647" i="1"/>
  <c r="E701" i="1"/>
  <c r="E376" i="1"/>
  <c r="E1139" i="1"/>
  <c r="E98" i="1"/>
  <c r="E89" i="1"/>
  <c r="E1057" i="1"/>
  <c r="E283" i="1"/>
  <c r="E507" i="1"/>
  <c r="E196" i="1"/>
  <c r="E210" i="1"/>
  <c r="E92" i="1"/>
  <c r="E37" i="1"/>
  <c r="E1121" i="1"/>
  <c r="E395" i="1"/>
  <c r="E497" i="1"/>
  <c r="E577" i="1"/>
  <c r="E789" i="1"/>
  <c r="E421" i="1"/>
  <c r="E1009" i="1"/>
  <c r="E801" i="1"/>
  <c r="E689" i="1"/>
  <c r="E411" i="1"/>
  <c r="E622" i="1"/>
  <c r="E710" i="1"/>
  <c r="E503" i="1"/>
  <c r="E184" i="1"/>
  <c r="E230" i="1"/>
  <c r="E65" i="1"/>
  <c r="E197" i="1"/>
  <c r="E200" i="1"/>
  <c r="E947" i="1"/>
  <c r="E401" i="1"/>
  <c r="E711" i="1"/>
  <c r="E319" i="1"/>
  <c r="E118" i="1"/>
  <c r="E819" i="1"/>
  <c r="E110" i="1"/>
  <c r="E229" i="1"/>
  <c r="E597" i="1"/>
  <c r="E77" i="1"/>
  <c r="E362" i="1"/>
  <c r="E430" i="1"/>
  <c r="E293" i="1"/>
  <c r="E360" i="1"/>
  <c r="E368" i="1"/>
  <c r="E1157" i="1"/>
  <c r="E1128" i="1"/>
  <c r="E1127" i="1"/>
  <c r="E447" i="1"/>
  <c r="E641" i="1"/>
  <c r="E204" i="1"/>
  <c r="E189" i="1"/>
  <c r="E542" i="1"/>
  <c r="E629" i="1"/>
  <c r="E365" i="1"/>
  <c r="E741" i="1"/>
  <c r="E855" i="1"/>
  <c r="E129" i="1"/>
  <c r="E133" i="1"/>
  <c r="E444" i="1"/>
  <c r="E659" i="1"/>
  <c r="E69" i="1"/>
  <c r="E29" i="1"/>
  <c r="E242" i="1"/>
  <c r="E676" i="1"/>
  <c r="E84" i="1"/>
  <c r="E867" i="1"/>
  <c r="E1082" i="1"/>
  <c r="E71" i="1"/>
  <c r="E1062" i="1"/>
  <c r="E441" i="1"/>
  <c r="E46" i="1"/>
  <c r="E214" i="1"/>
  <c r="E274" i="1"/>
  <c r="E780" i="1"/>
  <c r="E719" i="1"/>
  <c r="E716" i="1"/>
  <c r="E429" i="1"/>
  <c r="E374" i="1"/>
  <c r="E1026" i="1"/>
  <c r="E771" i="1"/>
  <c r="E145" i="1"/>
  <c r="E378" i="1"/>
  <c r="E355" i="1"/>
  <c r="E565" i="1"/>
  <c r="E397" i="1"/>
  <c r="E579" i="1"/>
  <c r="E643" i="1"/>
  <c r="E504" i="1"/>
  <c r="E923" i="1"/>
  <c r="E332" i="1"/>
  <c r="E556" i="1"/>
  <c r="E885" i="1"/>
  <c r="E207" i="1"/>
  <c r="E70" i="1"/>
  <c r="E437" i="1"/>
  <c r="E1167" i="1"/>
  <c r="E1016" i="1"/>
  <c r="E224" i="1"/>
  <c r="E236" i="1"/>
  <c r="E96" i="1"/>
  <c r="E8" i="1"/>
  <c r="E996" i="1"/>
  <c r="E58" i="1"/>
  <c r="E1160" i="1"/>
  <c r="E20" i="1"/>
  <c r="E840" i="1"/>
  <c r="E938" i="1"/>
  <c r="E23" i="1"/>
  <c r="E13" i="1"/>
  <c r="E156" i="1"/>
  <c r="E90" i="1"/>
  <c r="E474" i="1"/>
  <c r="E890" i="1"/>
  <c r="E1011" i="1"/>
  <c r="E1133" i="1"/>
  <c r="E1161" i="1"/>
  <c r="E778" i="1"/>
  <c r="E1152" i="1"/>
  <c r="E1169" i="1"/>
  <c r="E863" i="1"/>
  <c r="E959" i="1"/>
  <c r="E1031" i="1"/>
  <c r="E1010" i="1"/>
  <c r="E792" i="1"/>
  <c r="E502" i="1"/>
  <c r="E580" i="1"/>
  <c r="E1086" i="1"/>
  <c r="E383" i="1"/>
  <c r="E288" i="1"/>
  <c r="E172" i="1"/>
  <c r="E769" i="1"/>
  <c r="E742" i="1"/>
  <c r="E847" i="1"/>
  <c r="E1147" i="1"/>
  <c r="E1173" i="1"/>
  <c r="E1049" i="1"/>
  <c r="E483" i="1"/>
  <c r="E807" i="1"/>
  <c r="E1046" i="1"/>
  <c r="E352" i="1"/>
  <c r="E450" i="1"/>
  <c r="E523" i="1"/>
  <c r="E457" i="1"/>
  <c r="E1129" i="1"/>
  <c r="E1102" i="1"/>
  <c r="E1085" i="1"/>
  <c r="E653" i="1"/>
  <c r="E563" i="1"/>
  <c r="E973" i="1"/>
  <c r="E1117" i="1"/>
  <c r="E1115" i="1"/>
  <c r="E678" i="1"/>
  <c r="E1140" i="1"/>
  <c r="E705" i="1"/>
  <c r="E1097" i="1"/>
  <c r="E1042" i="1"/>
  <c r="E1012" i="1"/>
  <c r="E386" i="1"/>
  <c r="E277" i="1"/>
  <c r="E263" i="1"/>
  <c r="E370" i="1"/>
  <c r="E1107" i="1"/>
  <c r="E715" i="1"/>
  <c r="E963" i="1"/>
  <c r="E806" i="1"/>
  <c r="E997" i="1"/>
  <c r="E981" i="1"/>
  <c r="E22" i="1"/>
  <c r="E781" i="1"/>
  <c r="E916" i="1"/>
  <c r="E286" i="1"/>
  <c r="E818" i="1"/>
  <c r="E956" i="1"/>
  <c r="E1001" i="1"/>
  <c r="E536" i="1"/>
  <c r="E581" i="1"/>
  <c r="E651" i="1"/>
  <c r="E1048" i="1"/>
  <c r="E1006" i="1"/>
  <c r="E135" i="1"/>
  <c r="E1029" i="1"/>
  <c r="E472" i="1"/>
  <c r="E1084" i="1"/>
  <c r="E1116" i="1"/>
  <c r="E746" i="1"/>
  <c r="E1015" i="1"/>
  <c r="E1065" i="1"/>
  <c r="E952" i="1"/>
  <c r="E1120" i="1"/>
  <c r="E1089" i="1"/>
  <c r="E636" i="1"/>
  <c r="E755" i="1"/>
  <c r="E353" i="1"/>
  <c r="E785" i="1"/>
  <c r="E484" i="1"/>
  <c r="E554" i="1"/>
  <c r="E1020" i="1"/>
  <c r="E837" i="1"/>
  <c r="E722" i="1"/>
  <c r="E900" i="1"/>
  <c r="E757" i="1"/>
  <c r="E955" i="1"/>
  <c r="E826" i="1"/>
  <c r="E1174" i="1"/>
  <c r="E882" i="1"/>
  <c r="E385" i="1"/>
  <c r="E732" i="1"/>
  <c r="E917" i="1"/>
  <c r="E231" i="1"/>
  <c r="E175" i="1"/>
  <c r="E1131" i="1"/>
  <c r="E760" i="1"/>
  <c r="E1003" i="1"/>
  <c r="E1033" i="1"/>
  <c r="E358" i="1"/>
  <c r="E529" i="1"/>
  <c r="E617" i="1"/>
  <c r="E768" i="1"/>
  <c r="E327" i="1"/>
  <c r="E858" i="1"/>
  <c r="E354" i="1"/>
  <c r="E611" i="1"/>
  <c r="E209" i="1"/>
  <c r="E494" i="1"/>
  <c r="E646" i="1"/>
  <c r="E547" i="1"/>
  <c r="E557" i="1"/>
  <c r="E669" i="1"/>
  <c r="E305" i="1"/>
  <c r="E141" i="1"/>
  <c r="E491" i="1"/>
  <c r="E203" i="1"/>
  <c r="E349" i="1"/>
  <c r="E866" i="1"/>
  <c r="E934" i="1"/>
  <c r="E405" i="1"/>
  <c r="E1064" i="1"/>
  <c r="E1041" i="1"/>
  <c r="E728" i="1"/>
  <c r="E749" i="1"/>
  <c r="E1134" i="1"/>
  <c r="E1130" i="1"/>
  <c r="E462" i="1"/>
  <c r="E860" i="1"/>
  <c r="E619" i="1"/>
  <c r="E413" i="1"/>
  <c r="E1094" i="1"/>
  <c r="E540" i="1"/>
  <c r="E587" i="1"/>
  <c r="E835" i="1"/>
  <c r="E1078" i="1"/>
  <c r="E1142" i="1"/>
  <c r="E787" i="1"/>
  <c r="E439" i="1"/>
  <c r="E1070" i="1"/>
  <c r="E440" i="1"/>
  <c r="E344" i="1"/>
  <c r="E498" i="1"/>
  <c r="E280" i="1"/>
  <c r="E854" i="1"/>
  <c r="E727" i="1"/>
  <c r="E1044" i="1"/>
  <c r="E958" i="1"/>
  <c r="E512" i="1"/>
  <c r="E637" i="1"/>
  <c r="E857" i="1"/>
  <c r="E262" i="1"/>
  <c r="E246" i="1"/>
  <c r="E284" i="1"/>
  <c r="E600" i="1"/>
  <c r="E482" i="1"/>
  <c r="E756" i="1"/>
  <c r="E1122" i="1"/>
  <c r="E147" i="1"/>
  <c r="E51" i="1"/>
  <c r="E1066" i="1"/>
  <c r="E1022" i="1"/>
  <c r="E291" i="1"/>
  <c r="E267" i="1"/>
  <c r="E1074" i="1"/>
  <c r="E86" i="1"/>
  <c r="E333" i="1"/>
  <c r="E995" i="1"/>
  <c r="E44" i="1"/>
  <c r="E1106" i="1"/>
  <c r="E320" i="1"/>
  <c r="E1163" i="1"/>
  <c r="E169" i="1"/>
  <c r="E1037" i="1"/>
  <c r="E642" i="1"/>
  <c r="E928" i="1"/>
  <c r="E783" i="1"/>
  <c r="E794" i="1"/>
  <c r="E449" i="1"/>
  <c r="E966" i="1"/>
  <c r="E535" i="1"/>
  <c r="E115" i="1"/>
  <c r="E849" i="1"/>
  <c r="E1151" i="1"/>
  <c r="E691" i="1"/>
  <c r="E964" i="1"/>
  <c r="E241" i="1"/>
  <c r="E713" i="1"/>
  <c r="E688" i="1"/>
  <c r="E613" i="1"/>
  <c r="E566" i="1"/>
  <c r="E984" i="1"/>
  <c r="E949" i="1"/>
  <c r="E308" i="1"/>
  <c r="E223" i="1"/>
  <c r="E83" i="1"/>
  <c r="E328" i="1"/>
  <c r="E208" i="1"/>
  <c r="E549" i="1"/>
  <c r="E436" i="1"/>
  <c r="E213" i="1"/>
  <c r="E379" i="1"/>
  <c r="E607" i="1"/>
  <c r="E1148" i="1"/>
  <c r="E796" i="1"/>
  <c r="E1059" i="1"/>
  <c r="E1098" i="1"/>
  <c r="E1083" i="1"/>
  <c r="E414" i="1"/>
  <c r="E190" i="1"/>
  <c r="E91" i="1"/>
  <c r="E519" i="1"/>
  <c r="E673" i="1"/>
  <c r="E341" i="1"/>
  <c r="E377" i="1"/>
  <c r="E1081" i="1"/>
  <c r="E1137" i="1"/>
  <c r="E1051" i="1"/>
  <c r="E531" i="1"/>
  <c r="E500" i="1"/>
  <c r="E576" i="1"/>
  <c r="E665" i="1"/>
  <c r="E311" i="1"/>
  <c r="E693" i="1"/>
  <c r="E32" i="1"/>
  <c r="E55" i="1"/>
  <c r="E680" i="1"/>
  <c r="E545" i="1"/>
  <c r="E573" i="1"/>
  <c r="E459" i="1"/>
  <c r="E753" i="1"/>
  <c r="E356" i="1"/>
  <c r="E367" i="1"/>
  <c r="E316" i="1"/>
  <c r="E338" i="1"/>
  <c r="E684" i="1"/>
  <c r="E836" i="1"/>
  <c r="E888" i="1"/>
  <c r="E1032" i="1"/>
  <c r="E894" i="1"/>
  <c r="E81" i="1"/>
  <c r="E36" i="1"/>
  <c r="E891" i="1"/>
  <c r="E991" i="1"/>
  <c r="E1053" i="1"/>
  <c r="E872" i="1"/>
  <c r="E939" i="1"/>
  <c r="E1166" i="1"/>
  <c r="E761" i="1"/>
  <c r="E340" i="1"/>
  <c r="E75" i="1"/>
  <c r="E54" i="1"/>
  <c r="E670" i="1"/>
  <c r="E155" i="1"/>
  <c r="E339" i="1"/>
  <c r="E300" i="1"/>
  <c r="E315" i="1"/>
  <c r="E307" i="1"/>
  <c r="E323" i="1"/>
  <c r="E933" i="1"/>
  <c r="E799" i="1"/>
  <c r="E788" i="1"/>
  <c r="E798" i="1"/>
  <c r="E1090" i="1"/>
  <c r="E877" i="1"/>
  <c r="E161" i="1"/>
  <c r="E212" i="1"/>
  <c r="E389" i="1"/>
  <c r="E899" i="1"/>
  <c r="E638" i="1"/>
  <c r="E571" i="1"/>
  <c r="E1040" i="1"/>
  <c r="E464" i="1"/>
  <c r="E1073" i="1"/>
  <c r="E774" i="1"/>
  <c r="E140" i="1"/>
  <c r="E578" i="1"/>
  <c r="E215" i="1"/>
  <c r="E1025" i="1"/>
  <c r="E953" i="1"/>
  <c r="E635" i="1"/>
  <c r="E652" i="1"/>
  <c r="E432" i="1"/>
  <c r="E76" i="1"/>
  <c r="E823" i="1"/>
  <c r="E275" i="1"/>
  <c r="E290" i="1"/>
  <c r="E584" i="1"/>
  <c r="E351" i="1"/>
  <c r="E345" i="1"/>
  <c r="E325" i="1"/>
  <c r="E1077" i="1"/>
  <c r="E219" i="1"/>
  <c r="E392" i="1"/>
  <c r="E930" i="1"/>
  <c r="E50" i="1"/>
  <c r="E107" i="1"/>
  <c r="E347" i="1"/>
  <c r="E279" i="1"/>
  <c r="E1175" i="1"/>
  <c r="E694" i="1"/>
  <c r="E268" i="1"/>
  <c r="E119" i="1"/>
  <c r="E25" i="1"/>
  <c r="E59" i="1"/>
  <c r="E1164" i="1"/>
  <c r="E880" i="1"/>
  <c r="E404" i="1"/>
  <c r="E692" i="1"/>
  <c r="E422" i="1"/>
  <c r="E74" i="1"/>
  <c r="E186" i="1"/>
  <c r="E630" i="1"/>
  <c r="E833" i="1"/>
  <c r="E901" i="1"/>
  <c r="E605" i="1"/>
  <c r="E591" i="1"/>
  <c r="E593" i="1"/>
  <c r="E588" i="1"/>
  <c r="E821" i="1"/>
  <c r="E398" i="1"/>
  <c r="E951" i="1"/>
  <c r="E1113" i="1"/>
  <c r="E758" i="1"/>
  <c r="E802" i="1"/>
  <c r="E747" i="1"/>
  <c r="E841" i="1"/>
  <c r="E700" i="1"/>
  <c r="E721" i="1"/>
  <c r="E697" i="1"/>
  <c r="E667" i="1"/>
  <c r="E460" i="1"/>
  <c r="E631" i="1"/>
  <c r="E586" i="1"/>
  <c r="E313" i="1"/>
  <c r="E639" i="1"/>
  <c r="E704" i="1"/>
  <c r="E795" i="1"/>
  <c r="E904" i="1"/>
  <c r="E786" i="1"/>
  <c r="E709" i="1"/>
  <c r="E797" i="1"/>
  <c r="E843" i="1"/>
  <c r="E750" i="1"/>
  <c r="E784" i="1"/>
  <c r="E1052" i="1"/>
  <c r="E977" i="1"/>
  <c r="E1014" i="1"/>
  <c r="E410" i="1"/>
  <c r="E434" i="1"/>
  <c r="E303" i="1"/>
  <c r="E278" i="1"/>
  <c r="E249" i="1"/>
  <c r="E357" i="1"/>
  <c r="E364" i="1"/>
  <c r="E602" i="1"/>
  <c r="E690" i="1"/>
  <c r="E265" i="1"/>
  <c r="E232" i="1"/>
  <c r="E185" i="1"/>
  <c r="E252" i="1"/>
  <c r="E448" i="1"/>
  <c r="E359" i="1"/>
  <c r="E914" i="1"/>
  <c r="E975" i="1"/>
  <c r="E919" i="1"/>
  <c r="E976" i="1"/>
  <c r="E874" i="1"/>
  <c r="E720" i="1"/>
  <c r="E644" i="1"/>
  <c r="E829" i="1"/>
  <c r="E206" i="1"/>
  <c r="E428" i="1"/>
  <c r="E124" i="1"/>
  <c r="E247" i="1"/>
  <c r="E1063" i="1"/>
  <c r="E846" i="1"/>
  <c r="E845" i="1"/>
  <c r="E674" i="1"/>
  <c r="E1095" i="1"/>
  <c r="E1099" i="1"/>
  <c r="E608" i="1"/>
  <c r="E1071" i="1"/>
  <c r="E737" i="1"/>
  <c r="E861" i="1"/>
  <c r="E1075" i="1"/>
  <c r="E239" i="1"/>
  <c r="E282" i="1"/>
  <c r="E543" i="1"/>
  <c r="E645" i="1"/>
  <c r="E465" i="1"/>
  <c r="E227" i="1"/>
  <c r="E471" i="1"/>
  <c r="E640" i="1"/>
  <c r="E530" i="1"/>
  <c r="E455" i="1"/>
  <c r="E163" i="1"/>
  <c r="E461" i="1"/>
  <c r="E112" i="1"/>
  <c r="E162" i="1"/>
  <c r="E476" i="1"/>
  <c r="E5" i="1"/>
  <c r="E28" i="1"/>
  <c r="E868" i="1"/>
  <c r="E123" i="1"/>
  <c r="E522" i="1"/>
  <c r="E572" i="1"/>
  <c r="E195" i="1"/>
  <c r="E142" i="1"/>
  <c r="E151" i="1"/>
  <c r="E181" i="1"/>
  <c r="E165" i="1"/>
  <c r="E79" i="1"/>
  <c r="E149" i="1"/>
  <c r="E620" i="1"/>
  <c r="E306" i="1"/>
  <c r="E1119" i="1"/>
  <c r="E935" i="1"/>
  <c r="E546" i="1"/>
  <c r="E273" i="1"/>
  <c r="E469" i="1"/>
  <c r="E326" i="1"/>
  <c r="E1061" i="1"/>
  <c r="E511" i="1"/>
  <c r="E585" i="1"/>
  <c r="E423" i="1"/>
  <c r="E887" i="1"/>
  <c r="E825" i="1"/>
  <c r="E552" i="1"/>
  <c r="E926" i="1"/>
  <c r="E287" i="1"/>
  <c r="E371" i="1"/>
  <c r="E103" i="1"/>
  <c r="E518" i="1"/>
  <c r="E399" i="1"/>
  <c r="E407" i="1"/>
  <c r="E43" i="1"/>
  <c r="E294" i="1"/>
  <c r="E790" i="1"/>
  <c r="E240" i="1"/>
  <c r="E4" i="1"/>
  <c r="E718" i="1"/>
  <c r="E766" i="1"/>
  <c r="E191" i="1"/>
  <c r="E337" i="1"/>
  <c r="E986" i="1"/>
  <c r="E971" i="1"/>
  <c r="E989" i="1"/>
  <c r="E962" i="1"/>
  <c r="E567" i="1"/>
  <c r="E532" i="1"/>
  <c r="E1050" i="1"/>
  <c r="E1088" i="1"/>
  <c r="E513" i="1"/>
  <c r="E1008" i="1"/>
  <c r="E898" i="1"/>
  <c r="E892" i="1"/>
  <c r="E944" i="1"/>
  <c r="E943" i="1"/>
  <c r="E942" i="1"/>
  <c r="E897" i="1"/>
  <c r="E941" i="1"/>
  <c r="E570" i="1"/>
  <c r="E915" i="1"/>
  <c r="E824" i="1"/>
  <c r="E533" i="1"/>
  <c r="E724" i="1"/>
  <c r="E253" i="1"/>
  <c r="E844" i="1"/>
  <c r="E968" i="1"/>
  <c r="E810" i="1"/>
  <c r="E485" i="1"/>
  <c r="E1043" i="1"/>
  <c r="F383" i="1"/>
  <c r="F288" i="1"/>
  <c r="F172" i="1"/>
  <c r="F769" i="1"/>
  <c r="F742" i="1"/>
  <c r="F847" i="1"/>
  <c r="F1147" i="1"/>
  <c r="F1173" i="1"/>
  <c r="F1049" i="1"/>
  <c r="F483" i="1"/>
  <c r="F807" i="1"/>
  <c r="F1046" i="1"/>
  <c r="F352" i="1"/>
  <c r="F450" i="1"/>
  <c r="F523" i="1"/>
  <c r="F457" i="1"/>
  <c r="F1129" i="1"/>
  <c r="F1102" i="1"/>
  <c r="F1085" i="1"/>
  <c r="F653" i="1"/>
  <c r="F563" i="1"/>
  <c r="F973" i="1"/>
  <c r="F1117" i="1"/>
  <c r="F1115" i="1"/>
  <c r="F678" i="1"/>
  <c r="F1140" i="1"/>
  <c r="F705" i="1"/>
  <c r="F1097" i="1"/>
  <c r="F1042" i="1"/>
  <c r="F1012" i="1"/>
  <c r="F386" i="1"/>
  <c r="F277" i="1"/>
  <c r="F263" i="1"/>
  <c r="F370" i="1"/>
  <c r="F1107" i="1"/>
  <c r="F715" i="1"/>
  <c r="F963" i="1"/>
  <c r="F806" i="1"/>
  <c r="F997" i="1"/>
  <c r="F981" i="1"/>
  <c r="F22" i="1"/>
  <c r="F781" i="1"/>
  <c r="F181" i="1"/>
  <c r="F165" i="1"/>
  <c r="F79" i="1"/>
  <c r="F149" i="1"/>
  <c r="F620" i="1"/>
  <c r="F306" i="1"/>
  <c r="F1119" i="1"/>
  <c r="F935" i="1"/>
  <c r="F546" i="1"/>
  <c r="F273" i="1"/>
  <c r="F469" i="1"/>
  <c r="F326" i="1"/>
  <c r="F1061" i="1"/>
  <c r="F533" i="1"/>
  <c r="F724" i="1"/>
  <c r="F1043" i="1"/>
  <c r="F485" i="1"/>
  <c r="F810" i="1"/>
  <c r="F968" i="1"/>
  <c r="F844" i="1"/>
  <c r="F253" i="1"/>
  <c r="F824" i="1"/>
  <c r="F915" i="1"/>
  <c r="F570" i="1"/>
  <c r="F941" i="1"/>
  <c r="F897" i="1"/>
  <c r="F942" i="1"/>
  <c r="F943" i="1"/>
  <c r="F944" i="1"/>
  <c r="F892" i="1"/>
  <c r="F898" i="1"/>
  <c r="F1008" i="1"/>
  <c r="F513" i="1"/>
  <c r="F1088" i="1"/>
  <c r="F1050" i="1"/>
  <c r="F532" i="1"/>
  <c r="F567" i="1"/>
  <c r="F962" i="1"/>
  <c r="F989" i="1"/>
  <c r="F971" i="1"/>
  <c r="F986" i="1"/>
  <c r="F337" i="1"/>
  <c r="F191" i="1"/>
  <c r="F766" i="1"/>
  <c r="F718" i="1"/>
  <c r="F4" i="1"/>
  <c r="F240" i="1"/>
  <c r="F790" i="1"/>
  <c r="F294" i="1"/>
  <c r="F43" i="1"/>
  <c r="F407" i="1"/>
  <c r="F399" i="1"/>
  <c r="F518" i="1"/>
  <c r="F103" i="1"/>
  <c r="F371" i="1"/>
  <c r="F287" i="1"/>
  <c r="F926" i="1"/>
  <c r="F552" i="1"/>
  <c r="F825" i="1"/>
  <c r="F887" i="1"/>
  <c r="F423" i="1"/>
  <c r="F585" i="1"/>
  <c r="F511" i="1"/>
  <c r="F151" i="1"/>
  <c r="F142" i="1"/>
  <c r="F195" i="1"/>
  <c r="F572" i="1"/>
  <c r="F522" i="1"/>
  <c r="F123" i="1"/>
  <c r="F868" i="1"/>
  <c r="F28" i="1"/>
  <c r="F5" i="1"/>
  <c r="F476" i="1"/>
  <c r="F162" i="1"/>
  <c r="F112" i="1"/>
  <c r="F461" i="1"/>
  <c r="F163" i="1"/>
  <c r="F455" i="1"/>
  <c r="F530" i="1"/>
  <c r="F640" i="1"/>
  <c r="F471" i="1"/>
  <c r="F227" i="1"/>
  <c r="F465" i="1"/>
  <c r="F645" i="1"/>
  <c r="F543" i="1"/>
  <c r="F282" i="1"/>
  <c r="F239" i="1"/>
  <c r="F1075" i="1"/>
  <c r="F861" i="1"/>
  <c r="F737" i="1"/>
  <c r="F1071" i="1"/>
  <c r="F608" i="1"/>
  <c r="F1099" i="1"/>
  <c r="F1095" i="1"/>
  <c r="F674" i="1"/>
  <c r="F845" i="1"/>
  <c r="F846" i="1"/>
  <c r="F1063" i="1"/>
  <c r="F247" i="1"/>
  <c r="F124" i="1"/>
  <c r="F428" i="1"/>
  <c r="F206" i="1"/>
  <c r="F829" i="1"/>
  <c r="F644" i="1"/>
  <c r="F720" i="1"/>
  <c r="F874" i="1"/>
  <c r="F976" i="1"/>
  <c r="F919" i="1"/>
  <c r="F975" i="1"/>
  <c r="F914" i="1"/>
  <c r="F359" i="1"/>
  <c r="F448" i="1"/>
  <c r="F252" i="1"/>
  <c r="F185" i="1"/>
  <c r="F232" i="1"/>
  <c r="F265" i="1"/>
  <c r="F690" i="1"/>
  <c r="F602" i="1"/>
  <c r="F364" i="1"/>
  <c r="F357" i="1"/>
  <c r="F249" i="1"/>
  <c r="F278" i="1"/>
  <c r="F303" i="1"/>
  <c r="F434" i="1"/>
  <c r="F410" i="1"/>
  <c r="F1014" i="1"/>
  <c r="F977" i="1"/>
  <c r="F1052" i="1"/>
  <c r="F784" i="1"/>
  <c r="F750" i="1"/>
  <c r="F843" i="1"/>
  <c r="F797" i="1"/>
  <c r="F709" i="1"/>
  <c r="F786" i="1"/>
  <c r="F904" i="1"/>
  <c r="F795" i="1"/>
  <c r="F704" i="1"/>
  <c r="F639" i="1"/>
  <c r="F313" i="1"/>
  <c r="F586" i="1"/>
  <c r="F631" i="1"/>
  <c r="F460" i="1"/>
  <c r="F667" i="1"/>
  <c r="F697" i="1"/>
  <c r="F721" i="1"/>
  <c r="F700" i="1"/>
  <c r="F841" i="1"/>
  <c r="F747" i="1"/>
  <c r="F802" i="1"/>
  <c r="F758" i="1"/>
  <c r="F1113" i="1"/>
  <c r="F951" i="1"/>
  <c r="F398" i="1"/>
  <c r="F821" i="1"/>
  <c r="F588" i="1"/>
  <c r="F593" i="1"/>
  <c r="F591" i="1"/>
  <c r="F605" i="1"/>
  <c r="F901" i="1"/>
  <c r="F833" i="1"/>
  <c r="F630" i="1"/>
  <c r="F186" i="1"/>
  <c r="F74" i="1"/>
  <c r="F422" i="1"/>
  <c r="F692" i="1"/>
  <c r="F404" i="1"/>
  <c r="F880" i="1"/>
  <c r="F1164" i="1"/>
  <c r="F59" i="1"/>
  <c r="F25" i="1"/>
  <c r="F119" i="1"/>
  <c r="F268" i="1"/>
  <c r="F694" i="1"/>
  <c r="F1175" i="1"/>
  <c r="F279" i="1"/>
  <c r="F347" i="1"/>
  <c r="F107" i="1"/>
  <c r="F50" i="1"/>
  <c r="F930" i="1"/>
  <c r="F392" i="1"/>
  <c r="F219" i="1"/>
  <c r="F1077" i="1"/>
  <c r="F325" i="1"/>
  <c r="F345" i="1"/>
  <c r="F351" i="1"/>
  <c r="F584" i="1"/>
  <c r="F290" i="1"/>
  <c r="F275" i="1"/>
  <c r="F823" i="1"/>
  <c r="F76" i="1"/>
  <c r="F432" i="1"/>
  <c r="F652" i="1"/>
  <c r="F635" i="1"/>
  <c r="F953" i="1"/>
  <c r="F1025" i="1"/>
  <c r="F215" i="1"/>
  <c r="F578" i="1"/>
  <c r="F140" i="1"/>
  <c r="F774" i="1"/>
  <c r="F1073" i="1"/>
  <c r="F464" i="1"/>
  <c r="F1040" i="1"/>
  <c r="F571" i="1"/>
  <c r="F638" i="1"/>
  <c r="F899" i="1"/>
  <c r="F389" i="1"/>
  <c r="F212" i="1"/>
  <c r="F161" i="1"/>
  <c r="F877" i="1"/>
  <c r="F1090" i="1"/>
  <c r="F798" i="1"/>
  <c r="F788" i="1"/>
  <c r="F799" i="1"/>
  <c r="F933" i="1"/>
  <c r="F323" i="1"/>
  <c r="F307" i="1"/>
  <c r="F315" i="1"/>
  <c r="F300" i="1"/>
  <c r="F339" i="1"/>
  <c r="F155" i="1"/>
  <c r="F670" i="1"/>
  <c r="F54" i="1"/>
  <c r="F75" i="1"/>
  <c r="F340" i="1"/>
  <c r="F761" i="1"/>
  <c r="F1166" i="1"/>
  <c r="F939" i="1"/>
  <c r="F872" i="1"/>
  <c r="F1053" i="1"/>
  <c r="F991" i="1"/>
  <c r="F891" i="1"/>
  <c r="F36" i="1"/>
  <c r="F81" i="1"/>
  <c r="F894" i="1"/>
  <c r="F1032" i="1"/>
  <c r="F888" i="1"/>
  <c r="F836" i="1"/>
  <c r="F684" i="1"/>
  <c r="F338" i="1"/>
  <c r="F316" i="1"/>
  <c r="F367" i="1"/>
  <c r="F356" i="1"/>
  <c r="F753" i="1"/>
  <c r="F459" i="1"/>
  <c r="F573" i="1"/>
  <c r="F545" i="1"/>
  <c r="F680" i="1"/>
  <c r="F55" i="1"/>
  <c r="F32" i="1"/>
  <c r="F693" i="1"/>
  <c r="F311" i="1"/>
  <c r="F665" i="1"/>
  <c r="F576" i="1"/>
  <c r="F500" i="1"/>
  <c r="F531" i="1"/>
  <c r="F1051" i="1"/>
  <c r="F1137" i="1"/>
  <c r="F1081" i="1"/>
  <c r="F377" i="1"/>
  <c r="F341" i="1"/>
  <c r="F673" i="1"/>
  <c r="F519" i="1"/>
  <c r="F91" i="1"/>
  <c r="F190" i="1"/>
  <c r="F414" i="1"/>
  <c r="F1083" i="1"/>
  <c r="F1098" i="1"/>
  <c r="F1059" i="1"/>
  <c r="F796" i="1"/>
  <c r="F1148" i="1"/>
  <c r="F607" i="1"/>
  <c r="F379" i="1"/>
  <c r="F213" i="1"/>
  <c r="F436" i="1"/>
  <c r="F549" i="1"/>
  <c r="F208" i="1"/>
  <c r="F328" i="1"/>
  <c r="F83" i="1"/>
  <c r="F223" i="1"/>
  <c r="F308" i="1"/>
  <c r="F949" i="1"/>
  <c r="F984" i="1"/>
  <c r="F566" i="1"/>
  <c r="F613" i="1"/>
  <c r="F688" i="1"/>
  <c r="F713" i="1"/>
  <c r="F241" i="1"/>
  <c r="F964" i="1"/>
  <c r="F691" i="1"/>
  <c r="F1151" i="1"/>
  <c r="F849" i="1"/>
  <c r="F115" i="1"/>
  <c r="F535" i="1"/>
  <c r="F966" i="1"/>
  <c r="F449" i="1"/>
  <c r="F794" i="1"/>
  <c r="F783" i="1"/>
  <c r="F928" i="1"/>
  <c r="F642" i="1"/>
  <c r="F1037" i="1"/>
  <c r="F169" i="1"/>
  <c r="F1163" i="1"/>
  <c r="F320" i="1"/>
  <c r="F1106" i="1"/>
  <c r="F44" i="1"/>
  <c r="F995" i="1"/>
  <c r="F333" i="1"/>
  <c r="F86" i="1"/>
  <c r="F1074" i="1"/>
  <c r="F267" i="1"/>
  <c r="F291" i="1"/>
  <c r="F1022" i="1"/>
  <c r="F1066" i="1"/>
  <c r="F51" i="1"/>
  <c r="F147" i="1"/>
  <c r="F1122" i="1"/>
  <c r="F756" i="1"/>
  <c r="F482" i="1"/>
  <c r="F600" i="1"/>
  <c r="F284" i="1"/>
  <c r="F246" i="1"/>
  <c r="F262" i="1"/>
  <c r="F857" i="1"/>
  <c r="F637" i="1"/>
  <c r="F512" i="1"/>
  <c r="F958" i="1"/>
  <c r="F1044" i="1"/>
  <c r="F727" i="1"/>
  <c r="F854" i="1"/>
  <c r="F280" i="1"/>
  <c r="F498" i="1"/>
  <c r="F344" i="1"/>
  <c r="F440" i="1"/>
  <c r="F1070" i="1"/>
  <c r="F439" i="1"/>
  <c r="F787" i="1"/>
  <c r="F1142" i="1"/>
  <c r="F1078" i="1"/>
  <c r="F835" i="1"/>
  <c r="F587" i="1"/>
  <c r="F540" i="1"/>
  <c r="F1094" i="1"/>
  <c r="F413" i="1"/>
  <c r="F619" i="1"/>
  <c r="F860" i="1"/>
  <c r="F462" i="1"/>
  <c r="F1130" i="1"/>
  <c r="F1134" i="1"/>
  <c r="F749" i="1"/>
  <c r="F728" i="1"/>
  <c r="F1041" i="1"/>
  <c r="F1064" i="1"/>
  <c r="F405" i="1"/>
  <c r="F934" i="1"/>
  <c r="F866" i="1"/>
  <c r="F349" i="1"/>
  <c r="F203" i="1"/>
  <c r="F491" i="1"/>
  <c r="F141" i="1"/>
  <c r="F305" i="1"/>
  <c r="F669" i="1"/>
  <c r="F557" i="1"/>
  <c r="F547" i="1"/>
  <c r="F646" i="1"/>
  <c r="F494" i="1"/>
  <c r="F209" i="1"/>
  <c r="F611" i="1"/>
  <c r="F354" i="1"/>
  <c r="F858" i="1"/>
  <c r="F327" i="1"/>
  <c r="F768" i="1"/>
  <c r="F617" i="1"/>
  <c r="F529" i="1"/>
  <c r="F358" i="1"/>
  <c r="F1033" i="1"/>
  <c r="F1003" i="1"/>
  <c r="F760" i="1"/>
  <c r="F1131" i="1"/>
  <c r="F175" i="1"/>
  <c r="F231" i="1"/>
  <c r="F917" i="1"/>
  <c r="F732" i="1"/>
  <c r="F385" i="1"/>
  <c r="F882" i="1"/>
  <c r="F1174" i="1"/>
  <c r="F826" i="1"/>
  <c r="F955" i="1"/>
  <c r="F757" i="1"/>
  <c r="F900" i="1"/>
  <c r="F722" i="1"/>
  <c r="F837" i="1"/>
  <c r="F1020" i="1"/>
  <c r="F554" i="1"/>
  <c r="F484" i="1"/>
  <c r="F785" i="1"/>
  <c r="F353" i="1"/>
  <c r="F755" i="1"/>
  <c r="F636" i="1"/>
  <c r="F1089" i="1"/>
  <c r="F1120" i="1"/>
  <c r="F952" i="1"/>
  <c r="F1065" i="1"/>
  <c r="F1015" i="1"/>
  <c r="F746" i="1"/>
  <c r="F1116" i="1"/>
  <c r="F1084" i="1"/>
  <c r="F472" i="1"/>
  <c r="F1029" i="1"/>
  <c r="F135" i="1"/>
  <c r="F1006" i="1"/>
  <c r="F1048" i="1"/>
  <c r="F651" i="1"/>
  <c r="F581" i="1"/>
  <c r="F536" i="1"/>
  <c r="F1001" i="1"/>
  <c r="F956" i="1"/>
  <c r="F818" i="1"/>
  <c r="F286" i="1"/>
  <c r="F916" i="1"/>
  <c r="F1086" i="1"/>
  <c r="F580" i="1"/>
  <c r="F502" i="1"/>
  <c r="F792" i="1"/>
  <c r="F1010" i="1"/>
  <c r="F1031" i="1"/>
  <c r="F959" i="1"/>
  <c r="F863" i="1"/>
  <c r="F1169" i="1"/>
  <c r="F1152" i="1"/>
  <c r="F778" i="1"/>
  <c r="F1161" i="1"/>
  <c r="F1133" i="1"/>
  <c r="F1011" i="1"/>
  <c r="F890" i="1"/>
  <c r="F474" i="1"/>
  <c r="F90" i="1"/>
  <c r="F156" i="1"/>
  <c r="F13" i="1"/>
  <c r="F23" i="1"/>
  <c r="F938" i="1"/>
  <c r="F840" i="1"/>
  <c r="F20" i="1"/>
  <c r="F1160" i="1"/>
  <c r="F58" i="1"/>
  <c r="F996" i="1"/>
  <c r="F8" i="1"/>
  <c r="F96" i="1"/>
  <c r="F236" i="1"/>
  <c r="F224" i="1"/>
  <c r="F1016" i="1"/>
  <c r="F1167" i="1"/>
  <c r="F437" i="1"/>
  <c r="F70" i="1"/>
  <c r="F207" i="1"/>
  <c r="F885" i="1"/>
  <c r="F556" i="1"/>
  <c r="F332" i="1"/>
  <c r="F923" i="1"/>
  <c r="F504" i="1"/>
  <c r="F643" i="1"/>
  <c r="F579" i="1"/>
  <c r="F397" i="1"/>
  <c r="F565" i="1"/>
  <c r="F355" i="1"/>
  <c r="F378" i="1"/>
  <c r="F145" i="1"/>
  <c r="F771" i="1"/>
  <c r="F1026" i="1"/>
  <c r="F374" i="1"/>
  <c r="F429" i="1"/>
  <c r="F716" i="1"/>
  <c r="F719" i="1"/>
  <c r="F780" i="1"/>
  <c r="F274" i="1"/>
  <c r="F214" i="1"/>
  <c r="F46" i="1"/>
  <c r="F441" i="1"/>
  <c r="F1062" i="1"/>
  <c r="F71" i="1"/>
  <c r="F1082" i="1"/>
  <c r="F867" i="1"/>
  <c r="F84" i="1"/>
  <c r="F676" i="1"/>
  <c r="F242" i="1"/>
  <c r="F29" i="1"/>
  <c r="F69" i="1"/>
  <c r="F659" i="1"/>
  <c r="F444" i="1"/>
  <c r="F133" i="1"/>
  <c r="F129" i="1"/>
  <c r="F855" i="1"/>
  <c r="F741" i="1"/>
  <c r="F365" i="1"/>
  <c r="F629" i="1"/>
  <c r="F542" i="1"/>
  <c r="F189" i="1"/>
  <c r="F204" i="1"/>
  <c r="F641" i="1"/>
  <c r="F447" i="1"/>
  <c r="F1127" i="1"/>
  <c r="F1128" i="1"/>
  <c r="F1157" i="1"/>
  <c r="F368" i="1"/>
  <c r="F360" i="1"/>
  <c r="F293" i="1"/>
  <c r="F430" i="1"/>
  <c r="F362" i="1"/>
  <c r="F77" i="1"/>
  <c r="F597" i="1"/>
  <c r="F229" i="1"/>
  <c r="F110" i="1"/>
  <c r="F819" i="1"/>
  <c r="F118" i="1"/>
  <c r="F319" i="1"/>
  <c r="F711" i="1"/>
  <c r="F401" i="1"/>
  <c r="F947" i="1"/>
  <c r="F200" i="1"/>
  <c r="F197" i="1"/>
  <c r="F65" i="1"/>
  <c r="F230" i="1"/>
  <c r="F184" i="1"/>
  <c r="F503" i="1"/>
  <c r="F710" i="1"/>
  <c r="F622" i="1"/>
  <c r="F411" i="1"/>
  <c r="F689" i="1"/>
  <c r="F801" i="1"/>
  <c r="F1009" i="1"/>
  <c r="F421" i="1"/>
  <c r="F789" i="1"/>
  <c r="F577" i="1"/>
  <c r="F497" i="1"/>
  <c r="F395" i="1"/>
  <c r="F1121" i="1"/>
  <c r="F37" i="1"/>
  <c r="F92" i="1"/>
  <c r="F210" i="1"/>
  <c r="F196" i="1"/>
  <c r="F507" i="1"/>
  <c r="F283" i="1"/>
  <c r="F1057" i="1"/>
  <c r="F89" i="1"/>
  <c r="F98" i="1"/>
  <c r="F1139" i="1"/>
  <c r="F376" i="1"/>
  <c r="F701" i="1"/>
  <c r="F647" i="1"/>
  <c r="F238" i="1"/>
  <c r="F234" i="1"/>
  <c r="F218" i="1"/>
  <c r="F199" i="1"/>
  <c r="F382" i="1"/>
  <c r="F538" i="1"/>
  <c r="F974" i="1"/>
  <c r="F1047" i="1"/>
  <c r="F1172" i="1"/>
  <c r="F1000" i="1"/>
  <c r="F30" i="1"/>
  <c r="F41" i="1"/>
  <c r="F164" i="1"/>
  <c r="F804" i="1"/>
  <c r="F661" i="1"/>
  <c r="F73" i="1"/>
  <c r="F138" i="1"/>
  <c r="F34" i="1"/>
  <c r="F158" i="1"/>
  <c r="F658" i="1"/>
  <c r="F335" i="1"/>
  <c r="F815" i="1"/>
  <c r="F424" i="1"/>
  <c r="F812" i="1"/>
  <c r="F1143" i="1"/>
  <c r="F524" i="1"/>
  <c r="F1058" i="1"/>
  <c r="F243" i="1"/>
  <c r="F425" i="1"/>
  <c r="F285" i="1"/>
  <c r="F244" i="1"/>
  <c r="F159" i="1"/>
  <c r="F205" i="1"/>
  <c r="F675" i="1"/>
  <c r="F292" i="1"/>
  <c r="F126" i="1"/>
  <c r="F120" i="1"/>
  <c r="F217" i="1"/>
  <c r="F57" i="1"/>
  <c r="F188" i="1"/>
  <c r="F27" i="1"/>
  <c r="F296" i="1"/>
  <c r="F39" i="1"/>
  <c r="F696" i="1"/>
  <c r="F144" i="1"/>
  <c r="F53" i="1"/>
  <c r="F945" i="1"/>
  <c r="F1171" i="1"/>
  <c r="F198" i="1"/>
  <c r="F442" i="1"/>
  <c r="F435" i="1"/>
  <c r="F601" i="1"/>
  <c r="F745" i="1"/>
  <c r="F467" i="1"/>
  <c r="F1056" i="1"/>
  <c r="F116" i="1"/>
  <c r="F1105" i="1"/>
  <c r="F582" i="1"/>
  <c r="F216" i="1"/>
  <c r="F589" i="1"/>
  <c r="F105" i="1"/>
  <c r="F68" i="1"/>
  <c r="F777" i="1"/>
  <c r="F574" i="1"/>
  <c r="F272" i="1"/>
  <c r="F143" i="1"/>
  <c r="F1149" i="1"/>
  <c r="F1079" i="1"/>
  <c r="F192" i="1"/>
  <c r="F17" i="1"/>
  <c r="F295" i="1"/>
  <c r="F117" i="1"/>
  <c r="F907" i="1"/>
  <c r="F415" i="1"/>
  <c r="F621" i="1"/>
  <c r="F82" i="1"/>
  <c r="F1118" i="1"/>
  <c r="F740" i="1"/>
  <c r="F1114" i="1"/>
  <c r="F248" i="1"/>
  <c r="F875" i="1"/>
  <c r="F957" i="1"/>
  <c r="F927" i="1"/>
  <c r="F881" i="1"/>
  <c r="F1124" i="1"/>
  <c r="F380" i="1"/>
  <c r="F1005" i="1"/>
  <c r="F396" i="1"/>
  <c r="F759" i="1"/>
  <c r="F1018" i="1"/>
  <c r="F663" i="1"/>
  <c r="F418" i="1"/>
  <c r="F458" i="1"/>
  <c r="F99" i="1"/>
  <c r="F558" i="1"/>
  <c r="F452" i="1"/>
  <c r="F47" i="1"/>
  <c r="F111" i="1"/>
  <c r="F171" i="1"/>
  <c r="F12" i="1"/>
  <c r="F650" i="1"/>
  <c r="F420" i="1"/>
  <c r="F1055" i="1"/>
  <c r="F42" i="1"/>
  <c r="F492" i="1"/>
  <c r="F1069" i="1"/>
  <c r="F21" i="1"/>
  <c r="F88" i="1"/>
  <c r="F108" i="1"/>
  <c r="F222" i="1"/>
  <c r="F751" i="1"/>
  <c r="F702" i="1"/>
  <c r="F517" i="1"/>
  <c r="F62" i="1"/>
  <c r="F131" i="1"/>
  <c r="F128" i="1"/>
  <c r="F1153" i="1"/>
  <c r="F179" i="1"/>
  <c r="F660" i="1"/>
  <c r="F113" i="1"/>
  <c r="F1154" i="1"/>
  <c r="F193" i="1"/>
  <c r="F180" i="1"/>
  <c r="F575" i="1"/>
  <c r="F102" i="1"/>
  <c r="F811" i="1"/>
  <c r="F1104" i="1"/>
  <c r="F1002" i="1"/>
  <c r="F726" i="1"/>
  <c r="F298" i="1"/>
  <c r="F261" i="1"/>
  <c r="F85" i="1"/>
  <c r="F250" i="1"/>
  <c r="F609" i="1"/>
  <c r="F187" i="1"/>
  <c r="F388" i="1"/>
  <c r="F1138" i="1"/>
  <c r="F233" i="1"/>
  <c r="F814" i="1"/>
  <c r="F677" i="1"/>
  <c r="F318" i="1"/>
  <c r="F725" i="1"/>
  <c r="F508" i="1"/>
  <c r="F520" i="1"/>
  <c r="F10" i="1"/>
  <c r="F856" i="1"/>
  <c r="F1021" i="1"/>
  <c r="F1145" i="1"/>
  <c r="F1158" i="1"/>
  <c r="F137" i="1"/>
  <c r="F564" i="1"/>
  <c r="F999" i="1"/>
  <c r="F1156" i="1"/>
  <c r="F390" i="1"/>
  <c r="F495" i="1"/>
  <c r="F932" i="1"/>
  <c r="F978" i="1"/>
  <c r="F828" i="1"/>
  <c r="F838" i="1"/>
  <c r="F895" i="1"/>
  <c r="F148" i="1"/>
  <c r="F555" i="1"/>
  <c r="F1054" i="1"/>
  <c r="F299" i="1"/>
  <c r="F902" i="1"/>
  <c r="F748" i="1"/>
  <c r="F33" i="1"/>
  <c r="F387" i="1"/>
  <c r="F883" i="1"/>
  <c r="F336" i="1"/>
  <c r="F478" i="1"/>
  <c r="F409" i="1"/>
  <c r="F733" i="1"/>
  <c r="F2" i="1"/>
  <c r="F375" i="1"/>
  <c r="F106" i="1"/>
  <c r="F14" i="1"/>
  <c r="F1096" i="1"/>
  <c r="F481" i="1"/>
  <c r="F266" i="1"/>
  <c r="F687" i="1"/>
  <c r="F1168" i="1"/>
  <c r="F1027" i="1"/>
  <c r="F809" i="1"/>
  <c r="F52" i="1"/>
  <c r="F15" i="1"/>
  <c r="F805" i="1"/>
  <c r="F775" i="1"/>
  <c r="F599" i="1"/>
  <c r="F348" i="1"/>
  <c r="F26" i="1"/>
  <c r="F93" i="1"/>
  <c r="F773" i="1"/>
  <c r="F596" i="1"/>
  <c r="F176" i="1"/>
  <c r="F312" i="1"/>
  <c r="F965" i="1"/>
  <c r="F909" i="1"/>
  <c r="F470" i="1"/>
  <c r="F201" i="1"/>
  <c r="F1035" i="1"/>
  <c r="F1036" i="1"/>
  <c r="F1007" i="1"/>
  <c r="F66" i="1"/>
  <c r="F475" i="1"/>
  <c r="F820" i="1"/>
  <c r="F490" i="1"/>
  <c r="F403" i="1"/>
  <c r="F1101" i="1"/>
  <c r="F505" i="1"/>
  <c r="F782" i="1"/>
  <c r="F417" i="1"/>
  <c r="F499" i="1"/>
  <c r="F980" i="1"/>
  <c r="F896" i="1"/>
  <c r="F72" i="1"/>
  <c r="F346" i="1"/>
  <c r="F264" i="1"/>
  <c r="F310" i="1"/>
  <c r="F553" i="1"/>
  <c r="F256" i="1"/>
  <c r="F906" i="1"/>
  <c r="F1132" i="1"/>
  <c r="F998" i="1"/>
  <c r="F606" i="1"/>
  <c r="F45" i="1"/>
  <c r="F174" i="1"/>
  <c r="F95" i="1"/>
  <c r="F330" i="1"/>
  <c r="F534" i="1"/>
  <c r="F419" i="1"/>
  <c r="F592" i="1"/>
  <c r="F477" i="1"/>
  <c r="F220" i="1"/>
  <c r="F614" i="1"/>
  <c r="F990" i="1"/>
  <c r="F1076" i="1"/>
  <c r="F913" i="1"/>
  <c r="F480" i="1"/>
  <c r="F993" i="1"/>
  <c r="F808" i="1"/>
  <c r="F839" i="1"/>
  <c r="F908" i="1"/>
  <c r="F870" i="1"/>
  <c r="F889" i="1"/>
  <c r="F1091" i="1"/>
  <c r="F1038" i="1"/>
  <c r="F1126" i="1"/>
  <c r="F879" i="1"/>
  <c r="F772" i="1"/>
  <c r="F276" i="1"/>
  <c r="F527" i="1"/>
  <c r="F514" i="1"/>
  <c r="F496" i="1"/>
  <c r="F707" i="1"/>
  <c r="F31" i="1"/>
  <c r="F960" i="1"/>
  <c r="F987" i="1"/>
  <c r="F946" i="1"/>
  <c r="F988" i="1"/>
  <c r="F827" i="1"/>
  <c r="F1110" i="1"/>
  <c r="F830" i="1"/>
  <c r="F884" i="1"/>
  <c r="F985" i="1"/>
  <c r="F228" i="1"/>
  <c r="F49" i="1"/>
  <c r="F813" i="1"/>
  <c r="F258" i="1"/>
  <c r="F127" i="1"/>
  <c r="F708" i="1"/>
  <c r="F1030" i="1"/>
  <c r="F851" i="1"/>
  <c r="F893" i="1"/>
  <c r="F1024" i="1"/>
  <c r="F18" i="1"/>
  <c r="F983" i="1"/>
  <c r="F194" i="1"/>
  <c r="F537" i="1"/>
  <c r="F104" i="1"/>
  <c r="F121" i="1"/>
  <c r="F852" i="1"/>
  <c r="F361" i="1"/>
  <c r="F1159" i="1"/>
  <c r="F1125" i="1"/>
  <c r="F569" i="1"/>
  <c r="F967" i="1"/>
  <c r="F489" i="1"/>
  <c r="F393" i="1"/>
  <c r="F1068" i="1"/>
  <c r="F763" i="1"/>
  <c r="F509" i="1"/>
  <c r="F925" i="1"/>
  <c r="F954" i="1"/>
  <c r="F173" i="1"/>
  <c r="F539" i="1"/>
  <c r="F562" i="1"/>
  <c r="F466" i="1"/>
  <c r="F281" i="1"/>
  <c r="F752" i="1"/>
  <c r="F132" i="1"/>
  <c r="F1162" i="1"/>
  <c r="F731" i="1"/>
  <c r="F610" i="1"/>
  <c r="F869" i="1"/>
  <c r="F627" i="1"/>
  <c r="F406" i="1"/>
  <c r="F178" i="1"/>
  <c r="F446" i="1"/>
  <c r="F301" i="1"/>
  <c r="F329" i="1"/>
  <c r="F583" i="1"/>
  <c r="F24" i="1"/>
  <c r="F493" i="1"/>
  <c r="F78" i="1"/>
  <c r="F551" i="1"/>
  <c r="F1093" i="1"/>
  <c r="F848" i="1"/>
  <c r="F712" i="1"/>
  <c r="F269" i="1"/>
  <c r="F770" i="1"/>
  <c r="F394" i="1"/>
  <c r="F648" i="1"/>
  <c r="F767" i="1"/>
  <c r="F568" i="1"/>
  <c r="F443" i="1"/>
  <c r="F744" i="1"/>
  <c r="F525" i="1"/>
  <c r="F793" i="1"/>
  <c r="F157" i="1"/>
  <c r="F817" i="1"/>
  <c r="F416" i="1"/>
  <c r="F560" i="1"/>
  <c r="F160" i="1"/>
  <c r="F666" i="1"/>
  <c r="F1123" i="1"/>
  <c r="F649" i="1"/>
  <c r="F314" i="1"/>
  <c r="F912" i="1"/>
  <c r="F625" i="1"/>
  <c r="F878" i="1"/>
  <c r="F463" i="1"/>
  <c r="F918" i="1"/>
  <c r="F730" i="1"/>
  <c r="F736" i="1"/>
  <c r="F831" i="1"/>
  <c r="F940" i="1"/>
  <c r="F487" i="1"/>
  <c r="F822" i="1"/>
  <c r="F698" i="1"/>
  <c r="F1108" i="1"/>
  <c r="F331" i="1"/>
  <c r="F1176" i="1"/>
  <c r="F1177" i="1"/>
  <c r="F1023" i="1"/>
  <c r="F657" i="1"/>
  <c r="F764" i="1"/>
  <c r="F3" i="1"/>
  <c r="F9" i="1"/>
  <c r="F7" i="1"/>
  <c r="F80" i="1"/>
  <c r="F202" i="1"/>
  <c r="F864" i="1"/>
  <c r="F1067" i="1"/>
  <c r="F473" i="1"/>
  <c r="F921" i="1"/>
  <c r="F1087" i="1"/>
  <c r="F936" i="1"/>
  <c r="F125" i="1"/>
  <c r="F922" i="1"/>
  <c r="F381" i="1"/>
  <c r="F528" i="1"/>
  <c r="F16" i="1"/>
  <c r="F259" i="1"/>
  <c r="F100" i="1"/>
  <c r="F1150" i="1"/>
  <c r="F260" i="1"/>
  <c r="F97" i="1"/>
  <c r="F734" i="1"/>
  <c r="F114" i="1"/>
  <c r="F559" i="1"/>
  <c r="F309" i="1"/>
  <c r="F859" i="1"/>
  <c r="F153" i="1"/>
  <c r="F402" i="1"/>
  <c r="F19" i="1"/>
  <c r="F154" i="1"/>
  <c r="F743" i="1"/>
  <c r="F862" i="1"/>
  <c r="F723" i="1"/>
  <c r="F623" i="1"/>
  <c r="F1092" i="1"/>
  <c r="F654" i="1"/>
  <c r="F94" i="1"/>
  <c r="F615" i="1"/>
  <c r="F297" i="1"/>
  <c r="F544" i="1"/>
  <c r="F134" i="1"/>
  <c r="F598" i="1"/>
  <c r="F1112" i="1"/>
  <c r="F1136" i="1"/>
  <c r="F626" i="1"/>
  <c r="F433" i="1"/>
  <c r="F924" i="1"/>
  <c r="F1072" i="1"/>
  <c r="F271" i="1"/>
  <c r="F1144" i="1"/>
  <c r="F56" i="1"/>
  <c r="F979" i="1"/>
  <c r="F289" i="1"/>
  <c r="F1111" i="1"/>
  <c r="F910" i="1"/>
  <c r="F168" i="1"/>
  <c r="F865" i="1"/>
  <c r="F343" i="1"/>
  <c r="F167" i="1"/>
  <c r="F590" i="1"/>
  <c r="F152" i="1"/>
  <c r="F1013" i="1"/>
  <c r="F886" i="1"/>
  <c r="F38" i="1"/>
  <c r="F994" i="1"/>
  <c r="F60" i="1"/>
  <c r="F762" i="1"/>
  <c r="F6" i="1"/>
  <c r="F170" i="1"/>
  <c r="F686" i="1"/>
  <c r="F832" i="1"/>
  <c r="F738" i="1"/>
  <c r="F969" i="1"/>
  <c r="F920" i="1"/>
  <c r="F876" i="1"/>
  <c r="F1103" i="1"/>
  <c r="F803" i="1"/>
  <c r="F408" i="1"/>
  <c r="F302" i="1"/>
  <c r="F270" i="1"/>
  <c r="F225" i="1"/>
  <c r="F729" i="1"/>
  <c r="F48" i="1"/>
  <c r="F656" i="1"/>
  <c r="F779" i="1"/>
  <c r="F624" i="1"/>
  <c r="F905" i="1"/>
  <c r="F87" i="1"/>
  <c r="F431" i="1"/>
  <c r="F453" i="1"/>
  <c r="F438" i="1"/>
  <c r="F550" i="1"/>
  <c r="F1165" i="1"/>
  <c r="F664" i="1"/>
  <c r="F445" i="1"/>
  <c r="F548" i="1"/>
  <c r="F451" i="1"/>
  <c r="F628" i="1"/>
  <c r="F1100" i="1"/>
  <c r="F1170" i="1"/>
  <c r="F479" i="1"/>
  <c r="F972" i="1"/>
  <c r="F834" i="1"/>
  <c r="F130" i="1"/>
  <c r="F541" i="1"/>
  <c r="F122" i="1"/>
  <c r="F682" i="1"/>
  <c r="F521" i="1"/>
  <c r="F903" i="1"/>
  <c r="F1045" i="1"/>
  <c r="F67" i="1"/>
  <c r="F873" i="1"/>
  <c r="F671" i="1"/>
  <c r="F634" i="1"/>
  <c r="F257" i="1"/>
  <c r="F426" i="1"/>
  <c r="F363" i="1"/>
  <c r="F699" i="1"/>
  <c r="F11" i="1"/>
  <c r="F561" i="1"/>
  <c r="F992" i="1"/>
  <c r="F322" i="1"/>
  <c r="F211" i="1"/>
  <c r="F970" i="1"/>
  <c r="F816" i="1"/>
  <c r="F871" i="1"/>
  <c r="F681" i="1"/>
  <c r="F183" i="1"/>
  <c r="F515" i="1"/>
  <c r="F245" i="1"/>
  <c r="F237" i="1"/>
  <c r="F64" i="1"/>
  <c r="F40" i="1"/>
  <c r="F35" i="1"/>
  <c r="F177" i="1"/>
  <c r="F146" i="1"/>
  <c r="F166" i="1"/>
  <c r="F150" i="1"/>
  <c r="F384" i="1"/>
  <c r="F342" i="1"/>
  <c r="F109" i="1"/>
  <c r="F304" i="1"/>
  <c r="F618" i="1"/>
  <c r="F765" i="1"/>
  <c r="F101" i="1"/>
  <c r="F182" i="1"/>
  <c r="F850" i="1"/>
  <c r="F735" i="1"/>
  <c r="F961" i="1"/>
  <c r="F221" i="1"/>
  <c r="F373" i="1"/>
  <c r="F695" i="1"/>
  <c r="F754" i="1"/>
  <c r="F400" i="1"/>
  <c r="F948" i="1"/>
  <c r="F672" i="1"/>
  <c r="F655" i="1"/>
  <c r="F1017" i="1"/>
  <c r="F632" i="1"/>
  <c r="F633" i="1"/>
  <c r="F616" i="1"/>
  <c r="F679" i="1"/>
  <c r="F350" i="1"/>
  <c r="F791" i="1"/>
  <c r="F929" i="1"/>
  <c r="F800" i="1"/>
  <c r="F612" i="1"/>
  <c r="F1135" i="1"/>
  <c r="F1080" i="1"/>
  <c r="F1039" i="1"/>
  <c r="F251" i="1"/>
  <c r="F1178" i="1"/>
  <c r="F412" i="1"/>
  <c r="F255" i="1"/>
  <c r="F501" i="1"/>
  <c r="F372" i="1"/>
  <c r="F703" i="1"/>
  <c r="F595" i="1"/>
  <c r="F683" i="1"/>
  <c r="F526" i="1"/>
  <c r="F685" i="1"/>
  <c r="F603" i="1"/>
  <c r="F456" i="1"/>
  <c r="F1141" i="1"/>
  <c r="F510" i="1"/>
  <c r="F488" i="1"/>
  <c r="F1109" i="1"/>
  <c r="F982" i="1"/>
  <c r="F937" i="1"/>
  <c r="F454" i="1"/>
  <c r="F1034" i="1"/>
  <c r="F911" i="1"/>
  <c r="F486" i="1"/>
  <c r="F842" i="1"/>
  <c r="F594" i="1"/>
  <c r="F739" i="1"/>
  <c r="F366" i="1"/>
  <c r="F516" i="1"/>
  <c r="F369" i="1"/>
  <c r="F1004" i="1"/>
  <c r="F61" i="1"/>
  <c r="F136" i="1"/>
  <c r="F717" i="1"/>
  <c r="F317" i="1"/>
  <c r="F391" i="1"/>
  <c r="F706" i="1"/>
  <c r="F776" i="1"/>
  <c r="F950" i="1"/>
  <c r="F1155" i="1"/>
  <c r="F1146" i="1"/>
  <c r="F931" i="1"/>
  <c r="F321" i="1"/>
  <c r="F427" i="1"/>
  <c r="F235" i="1"/>
  <c r="F604" i="1"/>
  <c r="F1028" i="1"/>
  <c r="F1060" i="1"/>
  <c r="F324" i="1"/>
  <c r="F63" i="1"/>
  <c r="F139" i="1"/>
  <c r="F662" i="1"/>
  <c r="F1019" i="1"/>
  <c r="F468" i="1"/>
  <c r="F334" i="1"/>
  <c r="F668" i="1"/>
  <c r="F254" i="1"/>
  <c r="F226" i="1"/>
  <c r="F506" i="1"/>
  <c r="F853" i="1"/>
  <c r="F714" i="1"/>
</calcChain>
</file>

<file path=xl/sharedStrings.xml><?xml version="1.0" encoding="utf-8"?>
<sst xmlns="http://schemas.openxmlformats.org/spreadsheetml/2006/main" count="3541" uniqueCount="3541">
  <si>
    <t>cve_prod</t>
  </si>
  <si>
    <t>desc_prod</t>
  </si>
  <si>
    <t>dato_1</t>
  </si>
  <si>
    <t>030-030</t>
  </si>
  <si>
    <t>%FRIJOLES BAYOS KNORR 18 KG</t>
  </si>
  <si>
    <t>030-031</t>
  </si>
  <si>
    <t>FRIJOLES BAYOS KNORR 18 KG</t>
  </si>
  <si>
    <t>013-013</t>
  </si>
  <si>
    <t>CUBETA CAJETA QUEMADA NATURASOL 4.5KG</t>
  </si>
  <si>
    <t>017-082</t>
  </si>
  <si>
    <t>#CEREAL ZUCARITAS KELLOGG'S 380 GR (21)</t>
  </si>
  <si>
    <t>017-083</t>
  </si>
  <si>
    <t>CEREAL FROOT LOOPS KELLOGG'S 380GR (24)</t>
  </si>
  <si>
    <t>021-015</t>
  </si>
  <si>
    <t>CONCENTRADO MANGO FRUTIVA 1L (12)</t>
  </si>
  <si>
    <t>030-028</t>
  </si>
  <si>
    <t>-FRIJOL PINTO SCHETTINO 1K (10)</t>
  </si>
  <si>
    <t>033-009</t>
  </si>
  <si>
    <t>GALLETAS CRACKETS GAMESA 20/135G</t>
  </si>
  <si>
    <t>033-103</t>
  </si>
  <si>
    <t>GALLETAS CRACKETS GAMESA 20/89G</t>
  </si>
  <si>
    <t>033-115</t>
  </si>
  <si>
    <t>-GALLETAS SURTIDO CREMAX 1008G</t>
  </si>
  <si>
    <t>033-121</t>
  </si>
  <si>
    <t>-GALLETAS HABANERA BRAN 270 GR (24)</t>
  </si>
  <si>
    <t>037-0131</t>
  </si>
  <si>
    <t>#JUGO MANGO BIDA 500ML (12)</t>
  </si>
  <si>
    <t>037-0135</t>
  </si>
  <si>
    <t>#V8 SPLASH STRAW KIWI 500ML(12)</t>
  </si>
  <si>
    <t>037-128</t>
  </si>
  <si>
    <t>#JUGO UVA BIDA 500ML (12)</t>
  </si>
  <si>
    <t>037-130</t>
  </si>
  <si>
    <t>#JUGO FRESA BIDA 500ML (12)</t>
  </si>
  <si>
    <t>037-132</t>
  </si>
  <si>
    <t>#JUGO GUAYABA BIDA 500ML (12)</t>
  </si>
  <si>
    <t>037-133</t>
  </si>
  <si>
    <t>#V8 SPLASH BERRY BLEND 500ML(12)</t>
  </si>
  <si>
    <t>037-134</t>
  </si>
  <si>
    <t>#V8 SPLASH ORANGE 500ML(12)</t>
  </si>
  <si>
    <t>043-013</t>
  </si>
  <si>
    <t>-MANTECA INCA 100G (20)</t>
  </si>
  <si>
    <t>043-014</t>
  </si>
  <si>
    <t>-MANTECA INCA 100G (20) ***</t>
  </si>
  <si>
    <t>045-039</t>
  </si>
  <si>
    <t>-MANGA MERMELADA PIÑA 1K (10)</t>
  </si>
  <si>
    <t>045-040</t>
  </si>
  <si>
    <t>-MANGA MERMELADA FRESA 1K (10)</t>
  </si>
  <si>
    <t>048-032</t>
  </si>
  <si>
    <t>MOLE LPS TETRA BUENO 360GR. (21)</t>
  </si>
  <si>
    <t>059-068</t>
  </si>
  <si>
    <t>SALSA DEMIGLACE AJI-SAZON 4 KG. (2)</t>
  </si>
  <si>
    <t>066-029</t>
  </si>
  <si>
    <t>TE SNAPPLE FRAMBUESA 475ML (12)</t>
  </si>
  <si>
    <t>066-030</t>
  </si>
  <si>
    <t>TE SNAPPLE LIMON 473ML(12)</t>
  </si>
  <si>
    <t>066-031</t>
  </si>
  <si>
    <t>TE SNAPPLE DURAZNO 475ML (12)</t>
  </si>
  <si>
    <t>075-109</t>
  </si>
  <si>
    <t>POPOTE ESTUCHADO BIO C/2000</t>
  </si>
  <si>
    <t>093-018</t>
  </si>
  <si>
    <t>PAPEL HIGIENICO JR MARLI C/12/200MTS</t>
  </si>
  <si>
    <t>097-025</t>
  </si>
  <si>
    <t>SERVILLETA PETALO BCA C/100 HOJAS (48)</t>
  </si>
  <si>
    <t>001-007</t>
  </si>
  <si>
    <t>- ACEITE CRISTAL 500 ML (24)</t>
  </si>
  <si>
    <t>001-008</t>
  </si>
  <si>
    <t>ACEITE CRISTAL 1L (12)</t>
  </si>
  <si>
    <t>001-009</t>
  </si>
  <si>
    <t>ACEITE CRISTAL 20L BIDON</t>
  </si>
  <si>
    <t>001-010</t>
  </si>
  <si>
    <t>ACEITE CRISTAL CANOLA 20L BIDON</t>
  </si>
  <si>
    <t>001-011</t>
  </si>
  <si>
    <t>-ACEITE 123 500 ML. (24)</t>
  </si>
  <si>
    <t>001-012</t>
  </si>
  <si>
    <t>ACEITE 123 1L (12)</t>
  </si>
  <si>
    <t>001-015</t>
  </si>
  <si>
    <t>ACEITE KARTAMUS 900 ML (12)</t>
  </si>
  <si>
    <t>001-018</t>
  </si>
  <si>
    <t>ACEITE CANOIL 946 ML (12)</t>
  </si>
  <si>
    <t>001-040</t>
  </si>
  <si>
    <t>ACEITE COCO ORGANICO CALAHUA 342ML (12)</t>
  </si>
  <si>
    <t>001-048</t>
  </si>
  <si>
    <t>ACEITE OLIVA E.V INES 5L (4)</t>
  </si>
  <si>
    <t>001-049</t>
  </si>
  <si>
    <t>ACEITE OLIVA PURO INES 5L (4)</t>
  </si>
  <si>
    <t>001-050</t>
  </si>
  <si>
    <t>ACEITE OLIVA E.V INES 1L (12)</t>
  </si>
  <si>
    <t>001-051</t>
  </si>
  <si>
    <t>ACEITE OLIVA PURO INES 1L (12)</t>
  </si>
  <si>
    <t>001-054</t>
  </si>
  <si>
    <t>ACEITE AJONJOLI E.V INES 250ML (12)</t>
  </si>
  <si>
    <t>001-071</t>
  </si>
  <si>
    <t>ACEITE DE MAIZ CRISTAL 20L BIDON</t>
  </si>
  <si>
    <t>001-077</t>
  </si>
  <si>
    <t>ACEITE SUPREME OILS BIDON 20LT</t>
  </si>
  <si>
    <t>001-078</t>
  </si>
  <si>
    <t>ACEITE DE CANOLA 20 LITROS</t>
  </si>
  <si>
    <t>001-081</t>
  </si>
  <si>
    <t>-ACEITE KING FRY BIDON 20 LTS</t>
  </si>
  <si>
    <t>001-088</t>
  </si>
  <si>
    <t>-ACEITE OLEIN BIDON 20LT</t>
  </si>
  <si>
    <t>001-089</t>
  </si>
  <si>
    <t>-ACEITE SOYA BIDON 20LT</t>
  </si>
  <si>
    <t>003-058</t>
  </si>
  <si>
    <t>#ADEREZO DE MAYONEZA CHIPOTLE SQ 12/310G</t>
  </si>
  <si>
    <t>004-001</t>
  </si>
  <si>
    <t>AGUA PURIFICADA GYM C/24/500 ML.</t>
  </si>
  <si>
    <t>004-002</t>
  </si>
  <si>
    <t>AGUA PURIFICADA GYM C/12/1 L</t>
  </si>
  <si>
    <t>004-005</t>
  </si>
  <si>
    <t>AGUA PURIFICADA BONAFONT 600 ML (12)</t>
  </si>
  <si>
    <t>004-008</t>
  </si>
  <si>
    <t>AGUA PURIFICADA GERBER 4L (6)</t>
  </si>
  <si>
    <t>004-022</t>
  </si>
  <si>
    <t>AGUA MINERAL PERRIER 330ML  (24)</t>
  </si>
  <si>
    <t>006-005</t>
  </si>
  <si>
    <t>ARROZ DIAMANTE C/20/450G BOLSA</t>
  </si>
  <si>
    <t>006-007</t>
  </si>
  <si>
    <t>-ARROZ IMPEGABLE DIAMANTE 750G (12)</t>
  </si>
  <si>
    <t>006-008</t>
  </si>
  <si>
    <t>ARROZ IMPEGABLE DIAMANTE 5K</t>
  </si>
  <si>
    <t>006-018</t>
  </si>
  <si>
    <t>ARROZ ROJO PAISA C/25K BULTO</t>
  </si>
  <si>
    <t>006-021</t>
  </si>
  <si>
    <t>ARROZ SAN JOSE 700G (16)</t>
  </si>
  <si>
    <t>006-044</t>
  </si>
  <si>
    <t>ARROZ IMPEGABLE SCHETTINO 5K</t>
  </si>
  <si>
    <t>006-071</t>
  </si>
  <si>
    <t>ARROZ PAISA 1 KG (10)</t>
  </si>
  <si>
    <t>006-080</t>
  </si>
  <si>
    <t>ARROZ SANTA ISABEL 907 GR (10)</t>
  </si>
  <si>
    <t>006-081</t>
  </si>
  <si>
    <t>ARROZ DIAMANTE 900 GR (10)</t>
  </si>
  <si>
    <t>006-085</t>
  </si>
  <si>
    <t>ARROZ SUPER EXTRA PAISA 907 GR (10)</t>
  </si>
  <si>
    <t>006-087</t>
  </si>
  <si>
    <t>ARROZ SCHETTINO 1 KG (10)</t>
  </si>
  <si>
    <t>008-040</t>
  </si>
  <si>
    <t>ATUN EN AGUA ASTRA 1.88 K  (6)</t>
  </si>
  <si>
    <t>008-048</t>
  </si>
  <si>
    <t>ATUN EN AGUA DORADO 1.8 KG (6)</t>
  </si>
  <si>
    <t>008-049</t>
  </si>
  <si>
    <t>ATUN HOJ/ACEITE S/SOYA TUNY 130G (48)</t>
  </si>
  <si>
    <t>010-001</t>
  </si>
  <si>
    <t>CREMA DE COCO CALAHUA 480G (24)</t>
  </si>
  <si>
    <t>010-002</t>
  </si>
  <si>
    <t>CREMA DE COCO CALAHUA 1L (12) TETRA</t>
  </si>
  <si>
    <t>010-003</t>
  </si>
  <si>
    <t>CREMA DE COCO CALAHUA 2L (6) GARRAFA</t>
  </si>
  <si>
    <t>010-006</t>
  </si>
  <si>
    <t>PIÑA COLADA CALAHUA 380 ML (24)</t>
  </si>
  <si>
    <t>010-007</t>
  </si>
  <si>
    <t>PIÑA COLADA MIX CALAHUA 1L (12)</t>
  </si>
  <si>
    <t>010-009</t>
  </si>
  <si>
    <t>JARABE GRANADINA MADRILEÑA 1L (12)</t>
  </si>
  <si>
    <t>010-011</t>
  </si>
  <si>
    <t>JARABE NATURAL MADRILEÑA 1L (12)</t>
  </si>
  <si>
    <t>010-020</t>
  </si>
  <si>
    <t>CREMA DE COCO CALAHUA 240G (24)</t>
  </si>
  <si>
    <t>010-023</t>
  </si>
  <si>
    <t>SANGRITA VIUDA DE SANCHEZ 1L (12)</t>
  </si>
  <si>
    <t>010-028</t>
  </si>
  <si>
    <t>COCT TOMATE/ALMEJA CUBANO CLAMATO 946(12</t>
  </si>
  <si>
    <t>011-001</t>
  </si>
  <si>
    <t>AGUA DE COCO ACAPULCOCO NATURAL 330M(18)</t>
  </si>
  <si>
    <t>011-002</t>
  </si>
  <si>
    <t>AGUA DE COCO ACAPULCOCO NATURAL 1L (12)</t>
  </si>
  <si>
    <t>011-003</t>
  </si>
  <si>
    <t>AGUA DE COCO MARACUYA ACAPULCOCO 330M(18</t>
  </si>
  <si>
    <t>011-004</t>
  </si>
  <si>
    <t>AGUA DE COCO PIÑA ACAPULCOCO 330ML (18)</t>
  </si>
  <si>
    <t>011-006</t>
  </si>
  <si>
    <t>AGUA DE COCO ARANDANO ACAPULCOCO 330M(18</t>
  </si>
  <si>
    <t>012-011</t>
  </si>
  <si>
    <t>CAFE MOLIDO AMERICANO LA FUENTE 500G (10</t>
  </si>
  <si>
    <t>012-012</t>
  </si>
  <si>
    <t>CAFE MOLIDO DESCAFEINA LA FUENTE 500G(10</t>
  </si>
  <si>
    <t>012-066</t>
  </si>
  <si>
    <t>-CAFE CLASICO NESCAFE 5 KG</t>
  </si>
  <si>
    <t>012-067</t>
  </si>
  <si>
    <t>-CAFE MEZCLA DE LA CASA MOLIDO .500 KG</t>
  </si>
  <si>
    <t>013-010</t>
  </si>
  <si>
    <t>CAJETA QUEMADA CORONADO 333 GR (28)</t>
  </si>
  <si>
    <t>014-005</t>
  </si>
  <si>
    <t>-REFRESCO COCA COLA LIGHT 355 ML LATA(24</t>
  </si>
  <si>
    <t>014-006</t>
  </si>
  <si>
    <t>-REFRESCO COCA COLA ORIG 355 ML LATA(24)</t>
  </si>
  <si>
    <t>014-078</t>
  </si>
  <si>
    <t>AGUA MIN TOPO CHICO AGUA MINERAL 1.5L (6</t>
  </si>
  <si>
    <t>017-009</t>
  </si>
  <si>
    <t>CEREAL CORN FLAKES KELLOGG'S 560G (16)</t>
  </si>
  <si>
    <t>017-077</t>
  </si>
  <si>
    <t>CEREAL ZUCARITAS KELLOGG'S 600G (16)</t>
  </si>
  <si>
    <t>017-079</t>
  </si>
  <si>
    <t>#CEREAL CORN POPS KELLOGG'S 450G (24)</t>
  </si>
  <si>
    <t>017-080</t>
  </si>
  <si>
    <t>CEREAL CHOCO KRISPIS KELLOGG'S 540G (24</t>
  </si>
  <si>
    <t>017-081</t>
  </si>
  <si>
    <t>#CEREAL CORN FLAKES KELLOGG'S 410 GR(10)</t>
  </si>
  <si>
    <t>018-031</t>
  </si>
  <si>
    <t>CHILE CHIPOTLE EL MEXICANO 2.8K (6)</t>
  </si>
  <si>
    <t>018-047</t>
  </si>
  <si>
    <t>CHILE JALAPEÑO EL MEXICANO 2.8K (6)</t>
  </si>
  <si>
    <t>018-049</t>
  </si>
  <si>
    <t>CHILE RAJAS EL MEXICANO 2.8K (6)</t>
  </si>
  <si>
    <t>018-061</t>
  </si>
  <si>
    <t>CHILE CHIPOTLE CLEMENTE 380GR (24)</t>
  </si>
  <si>
    <t>020-002</t>
  </si>
  <si>
    <t>-CHOCOLATE OSO MARQUETA 25/200G (5)</t>
  </si>
  <si>
    <t>020-003</t>
  </si>
  <si>
    <t>CHOCOLATE POPULAR MARQUETA 250G (20)</t>
  </si>
  <si>
    <t>020-004</t>
  </si>
  <si>
    <t>CHOCOLATE PREMIUM MARQUETA 250G (20)</t>
  </si>
  <si>
    <t>020-007</t>
  </si>
  <si>
    <t>CHOCOLATE POPULAR MARQUETA 125G (40)</t>
  </si>
  <si>
    <t>021-002</t>
  </si>
  <si>
    <t>CONCENTRADO HORCHATA F-DIAZ 5L (4)</t>
  </si>
  <si>
    <t>021-004</t>
  </si>
  <si>
    <t>CONCENTRADO JAMAICA F-DIAZ 5L (4)</t>
  </si>
  <si>
    <t>021-006</t>
  </si>
  <si>
    <t>CONCENTRADO MANGO F-DIAZ 5L (4)</t>
  </si>
  <si>
    <t>021-008</t>
  </si>
  <si>
    <t>CONCENTRADO TAMARINDO F-DIAZ 5L (4)</t>
  </si>
  <si>
    <t>021-009</t>
  </si>
  <si>
    <t>CONCENTRADO FRESA FRUTIVA 1L (12)</t>
  </si>
  <si>
    <t>021-010</t>
  </si>
  <si>
    <t>CONCENTRADO GUAYABA FRUTIVA 1L (12)</t>
  </si>
  <si>
    <t>021-011</t>
  </si>
  <si>
    <t>CONCENTRADO TRAD FRUTIVA HORCHATA 1L(12)</t>
  </si>
  <si>
    <t>021-013</t>
  </si>
  <si>
    <t>CONCENTRADO JAMAICA FRUTIVA 1L (12)</t>
  </si>
  <si>
    <t>021-014</t>
  </si>
  <si>
    <t>CONCENTRADO LIMON FRUTIVA 1L (12)</t>
  </si>
  <si>
    <t>021-016</t>
  </si>
  <si>
    <t>CONCENTRADO TAMARINDO FRUTIVA 1L (12)</t>
  </si>
  <si>
    <t>021-036</t>
  </si>
  <si>
    <t>-CONCENTRADO TE LIMON FRUTIVA 1L (12)</t>
  </si>
  <si>
    <t>021-037</t>
  </si>
  <si>
    <t>-CONCENTRADO TE DURAZNO FRUTIVA 1L(12)</t>
  </si>
  <si>
    <t>021-041</t>
  </si>
  <si>
    <t>CONCENTRADO MELON FRUTIVA 1L (12)</t>
  </si>
  <si>
    <t>021-042</t>
  </si>
  <si>
    <t>CONCENTRADO TRAD.FRUTIVA LIMONADA 1L (12</t>
  </si>
  <si>
    <t>021-043</t>
  </si>
  <si>
    <t>CONCENTRADO TRAD.FRUTIVA JAMAICA 1LT(12)</t>
  </si>
  <si>
    <t>021-044</t>
  </si>
  <si>
    <t>CONCENTRADO TRAD.FRUTIVA MANGO 1LTO(12)</t>
  </si>
  <si>
    <t>021-045</t>
  </si>
  <si>
    <t>CONCENTRADO TRAD.FRUTIVA TAMARINDO 1L(12</t>
  </si>
  <si>
    <t>021-047</t>
  </si>
  <si>
    <t>CONCENTRADO TRAD FRUTIVA GUAYABA 1L (12)</t>
  </si>
  <si>
    <t>021-048</t>
  </si>
  <si>
    <t>CONCENTRADO TRAD FRUTIVA FRESA 1L (12)</t>
  </si>
  <si>
    <t>021-049</t>
  </si>
  <si>
    <t>CONCENTRADO GUANABANA FRUTIVA  1L (12)</t>
  </si>
  <si>
    <t>022-022</t>
  </si>
  <si>
    <t>TANG FRESA C/8/13G (12)</t>
  </si>
  <si>
    <t>022-023</t>
  </si>
  <si>
    <t>TANG HORCHATA C/8/13G (12)</t>
  </si>
  <si>
    <t>022-024</t>
  </si>
  <si>
    <t>TANG JAMAICA C/8/13G (12)</t>
  </si>
  <si>
    <t>022-025</t>
  </si>
  <si>
    <t>TANG LIMON C/8/13G (12)</t>
  </si>
  <si>
    <t>022-027</t>
  </si>
  <si>
    <t>TANG MANGO C/8/13G (12)</t>
  </si>
  <si>
    <t>022-029</t>
  </si>
  <si>
    <t>TANG MELON C/8/13G (12)</t>
  </si>
  <si>
    <t>022-030</t>
  </si>
  <si>
    <t>TANG NARANJA C/8/13G (12)</t>
  </si>
  <si>
    <t>022-031</t>
  </si>
  <si>
    <t>TANG PIÑA C/8/13G (12)</t>
  </si>
  <si>
    <t>022-033</t>
  </si>
  <si>
    <t>TANG TAMARINDO C/8/13G (12)</t>
  </si>
  <si>
    <t>022-034</t>
  </si>
  <si>
    <t>TANG UVA C/8/13G (12)</t>
  </si>
  <si>
    <t>022-036</t>
  </si>
  <si>
    <t>ZUKO DURAZNO C/8/13G (12)</t>
  </si>
  <si>
    <t>022-037</t>
  </si>
  <si>
    <t>ZUKO JAMAICA C/8/13G (12)</t>
  </si>
  <si>
    <t>022-038</t>
  </si>
  <si>
    <t>ZUKO LIMON C/8/13G (12)</t>
  </si>
  <si>
    <t>022-039</t>
  </si>
  <si>
    <t>ZUKO MANGO C/8/13G (12)</t>
  </si>
  <si>
    <t>022-040</t>
  </si>
  <si>
    <t>ZUKO MELON C/8/13G (12)</t>
  </si>
  <si>
    <t>022-041</t>
  </si>
  <si>
    <t>ZUKO NARANJA C/8/13G  (12)</t>
  </si>
  <si>
    <t>022-043</t>
  </si>
  <si>
    <t>ZUKO PIÑA C/8/13G (12)</t>
  </si>
  <si>
    <t>022-044</t>
  </si>
  <si>
    <t>ZUKO SANDIA C/8/13G (12)</t>
  </si>
  <si>
    <t>022-045</t>
  </si>
  <si>
    <t>ZUKO TAMARINDO C/8/13G (12)</t>
  </si>
  <si>
    <t>022-047</t>
  </si>
  <si>
    <t>ZUKO UVA C/8/13G (12)</t>
  </si>
  <si>
    <t>022-051</t>
  </si>
  <si>
    <t>ZUKO HORCHATA C/8/13G (12)</t>
  </si>
  <si>
    <t>022-068</t>
  </si>
  <si>
    <t>ZUKO FRESA C/8/13G (12)</t>
  </si>
  <si>
    <t>022-070</t>
  </si>
  <si>
    <t>-ZUKO MANDARINA  C/8/13G (12)</t>
  </si>
  <si>
    <t>022-071</t>
  </si>
  <si>
    <t>ZUKO MANZANA C/8/13G (12)</t>
  </si>
  <si>
    <t>022-072</t>
  </si>
  <si>
    <t>TANG JAMAICA RUBIK C/10/13G (12)</t>
  </si>
  <si>
    <t>022-080</t>
  </si>
  <si>
    <t>ZUKO PIÑA COLADA C/8/13G (12)</t>
  </si>
  <si>
    <t>023-048</t>
  </si>
  <si>
    <t>CALDO CAMARON AJI-SAZON 1K (10)</t>
  </si>
  <si>
    <t>023-049</t>
  </si>
  <si>
    <t>CALDO DE POLLO PREM AJI-SAZON 14K</t>
  </si>
  <si>
    <t>023-050</t>
  </si>
  <si>
    <t>CALDO DE POLLO PREM AJI-SAZON 2.7KG (4)</t>
  </si>
  <si>
    <t>023-051</t>
  </si>
  <si>
    <t>SAZONADOR EC POLLO AJI-SAZON 10 KG</t>
  </si>
  <si>
    <t>023-052</t>
  </si>
  <si>
    <t>SAZONADOR EC POLLO AJI-SAZON 2.7KG (4)</t>
  </si>
  <si>
    <t>023-053</t>
  </si>
  <si>
    <t>SAZONADOR UNIV POLVO AJI-SAZON 2.7KG (4)</t>
  </si>
  <si>
    <t>023-054</t>
  </si>
  <si>
    <t>-SAZONADOR RES AJI-SAZON 1 KG (10)</t>
  </si>
  <si>
    <t>023-056</t>
  </si>
  <si>
    <t>SAZONADOR UMAMI AJI-NO-MOTO 1 KG (18)</t>
  </si>
  <si>
    <t>025-002</t>
  </si>
  <si>
    <t>CREMA PARA CAFE MARINO C/1000/3G SOBRES</t>
  </si>
  <si>
    <t>025-018</t>
  </si>
  <si>
    <t>CREMA CHOCOLATE/AVELLANAS NUTELLA750G(12</t>
  </si>
  <si>
    <t>025-023</t>
  </si>
  <si>
    <t>#MEDIA CREMA 225 GR NESTLE (24)</t>
  </si>
  <si>
    <t>025-026</t>
  </si>
  <si>
    <t>-CREMA AVELLANAS/CACAO NUTELLA 3KG (2)</t>
  </si>
  <si>
    <t>025-030</t>
  </si>
  <si>
    <t>CREMA CHOCO/AVELLANAS NUTELLA 950 GR(8)</t>
  </si>
  <si>
    <t>026-002</t>
  </si>
  <si>
    <t>-AZUCAR MORENA AVANCE 906G (10)</t>
  </si>
  <si>
    <t>026-004</t>
  </si>
  <si>
    <t>AZUCAR BLANCA AVANCE 906G (10)</t>
  </si>
  <si>
    <t>026-005</t>
  </si>
  <si>
    <t>AZUCAR BLANCA REFINADA C/50K</t>
  </si>
  <si>
    <t>026-006</t>
  </si>
  <si>
    <t>AZUCAR MORENA GRAN MYA 908G (10)</t>
  </si>
  <si>
    <t>026-007</t>
  </si>
  <si>
    <t>AZUCAR REFINADA GRAN MYA 910G (10)</t>
  </si>
  <si>
    <t>026-019</t>
  </si>
  <si>
    <t>AZUCAR MARINO C/1000/4G PORCION</t>
  </si>
  <si>
    <t>026-030</t>
  </si>
  <si>
    <t>ENDULZANTE STEVIA C/700/1G</t>
  </si>
  <si>
    <t>026-033</t>
  </si>
  <si>
    <t>ENDULZANTE STEVIA N´JOY C/300/1G</t>
  </si>
  <si>
    <t>026-042</t>
  </si>
  <si>
    <t>AZUCAR MORENA LA NUESTRA 500G (20)</t>
  </si>
  <si>
    <t>026-047</t>
  </si>
  <si>
    <t>AZUCAR GLASS BULTO 25 KG</t>
  </si>
  <si>
    <t>026-050</t>
  </si>
  <si>
    <t>JARABE MAPLE MUDENAS C/105/30G</t>
  </si>
  <si>
    <t>026-055</t>
  </si>
  <si>
    <t>AZUCAR MORENA ESTANDAR 25 KG</t>
  </si>
  <si>
    <t>026-060</t>
  </si>
  <si>
    <t>AZUCAR BLANCA REFINADA C/25K</t>
  </si>
  <si>
    <t>026-061</t>
  </si>
  <si>
    <t>AZUCAR DELAGG C/1000/3.6G PORCION</t>
  </si>
  <si>
    <t>027-002</t>
  </si>
  <si>
    <t>VAINILLA CIERVO 1L (12)</t>
  </si>
  <si>
    <t>027-005</t>
  </si>
  <si>
    <t>AJO EN POLVO PRAGNA 794G (12)</t>
  </si>
  <si>
    <t>027-006</t>
  </si>
  <si>
    <t>AJO GRANULADO PRAGNA 700G (12)</t>
  </si>
  <si>
    <t>027-011</t>
  </si>
  <si>
    <t>CANELA MOLIDA PRAGNA 771G (12)</t>
  </si>
  <si>
    <t>027-012</t>
  </si>
  <si>
    <t>CEBOLLA EN POLVO PRAGNA 724G (12)</t>
  </si>
  <si>
    <t>027-015</t>
  </si>
  <si>
    <t>CHILE ROJO TRITURADO PRAGNA 385G (12)</t>
  </si>
  <si>
    <t>027-018</t>
  </si>
  <si>
    <t>COMINO MOLIDO PRAGNA 569G (12)</t>
  </si>
  <si>
    <t>027-024</t>
  </si>
  <si>
    <t>IMITACION TOCINO PRAGNA 520G (12)</t>
  </si>
  <si>
    <t>027-027</t>
  </si>
  <si>
    <t>PAPRIKA PRAGNA 616G (12)</t>
  </si>
  <si>
    <t>027-032</t>
  </si>
  <si>
    <t>PIMIENTA BLANCA MOLIDA PRAGNA 700G (12)</t>
  </si>
  <si>
    <t>027-036</t>
  </si>
  <si>
    <t>PIMIENTA CON LIMON PRAGNA 1.1K (12)</t>
  </si>
  <si>
    <t>027-042</t>
  </si>
  <si>
    <t>PIMIENTA NEGRA MOLIDA PRAGNA 530G (12)</t>
  </si>
  <si>
    <t>027-045</t>
  </si>
  <si>
    <t>SAL CON AJO PRAGNA 1.100G (12)</t>
  </si>
  <si>
    <t>027-063</t>
  </si>
  <si>
    <t>VAINILLA CIERVO 4L (4)</t>
  </si>
  <si>
    <t>027-155</t>
  </si>
  <si>
    <t>-CEBOLLA EN POLVO PRAGNA 100GR (10)</t>
  </si>
  <si>
    <t>027-158</t>
  </si>
  <si>
    <t>-HOJA DE LAUREL MC MEMBERS M 40GR</t>
  </si>
  <si>
    <t>030-027</t>
  </si>
  <si>
    <t>FRIJOL PINTO NACIONAL 25 KG</t>
  </si>
  <si>
    <t>032-004</t>
  </si>
  <si>
    <t>CEREZA MARASCHINO DIANA 2.1K (6)</t>
  </si>
  <si>
    <t>032-005</t>
  </si>
  <si>
    <t>CEREZA MARASCHINO DIANA 4.150K (4)</t>
  </si>
  <si>
    <t>032-034</t>
  </si>
  <si>
    <t>CEREZA CON RABO LOL-TUN  4K (4)</t>
  </si>
  <si>
    <t>032-044</t>
  </si>
  <si>
    <t>CEREZA C/TALLO MARASCHINO DIANA 2.7K(4)</t>
  </si>
  <si>
    <t>032-050</t>
  </si>
  <si>
    <t>PIÑA REBANADA CORINA 800 GR (12)</t>
  </si>
  <si>
    <t>032-051</t>
  </si>
  <si>
    <t>-TROZO/PIÑA CLEMTE JACQUES 800 GR (12)</t>
  </si>
  <si>
    <t>033-081</t>
  </si>
  <si>
    <t>GALLETAS OREO NABISCO 4x63g(252G)(12)</t>
  </si>
  <si>
    <t>033-091</t>
  </si>
  <si>
    <t>GALLETAS OREO NABISCO  C/14/114GR</t>
  </si>
  <si>
    <t>033-092</t>
  </si>
  <si>
    <t>-GALLETAS OREO NABISCO  C/21/114GR</t>
  </si>
  <si>
    <t>033-108</t>
  </si>
  <si>
    <t>-GALLE OREO MOLIDA PRAGNA 1 KG BOL (5)</t>
  </si>
  <si>
    <t>034-008</t>
  </si>
  <si>
    <t>GELATINA AGUA FRESA D'GARI 720G (10)</t>
  </si>
  <si>
    <t>034-018</t>
  </si>
  <si>
    <t>FLAN VAINILLA D'GARI 805GR (10)</t>
  </si>
  <si>
    <t>034-023</t>
  </si>
  <si>
    <t>-FLAN CHOCOLATE LORES 1K (10)</t>
  </si>
  <si>
    <t>034-091</t>
  </si>
  <si>
    <t>GELATINA UVA D´GARI 120G (50)</t>
  </si>
  <si>
    <t>034-092</t>
  </si>
  <si>
    <t>GELATINA PIÑA D´GARI 120G (50)</t>
  </si>
  <si>
    <t>034-093</t>
  </si>
  <si>
    <t>GELATINA NARANJA D´GARI 120G (50)</t>
  </si>
  <si>
    <t>034-094</t>
  </si>
  <si>
    <t>GELATINA LIMÓN D´GARI 120G (50)</t>
  </si>
  <si>
    <t>034-095</t>
  </si>
  <si>
    <t>GELATINA FRESA D´GARI 120G (50)</t>
  </si>
  <si>
    <t>034-096</t>
  </si>
  <si>
    <t>GELATINA NARANJA AJI-JELLY 350 GR (12)</t>
  </si>
  <si>
    <t>034-097</t>
  </si>
  <si>
    <t>GELATINA LIMON AJI-JELLY 350 GR (12)</t>
  </si>
  <si>
    <t>034-098</t>
  </si>
  <si>
    <t>GELATINA UVA AJI-JELLY 350 GR (12)</t>
  </si>
  <si>
    <t>034-099</t>
  </si>
  <si>
    <t>GELATINA FRESA AJI-JELLY 350 GR (12)</t>
  </si>
  <si>
    <t>034-100</t>
  </si>
  <si>
    <t>GELATINA PIÑA AJI-JELLY 350 GR (12)</t>
  </si>
  <si>
    <t>035-001</t>
  </si>
  <si>
    <t>HARINA PERLA 907 GR (10)</t>
  </si>
  <si>
    <t>035-003</t>
  </si>
  <si>
    <t>HARINA INTEGRAL PERLA 907 GR (10)</t>
  </si>
  <si>
    <t>035-005</t>
  </si>
  <si>
    <t>HARINA SELECTA 1K(10)</t>
  </si>
  <si>
    <t>035-008</t>
  </si>
  <si>
    <t>HARINA MASECA 1K (10)</t>
  </si>
  <si>
    <t>035-009</t>
  </si>
  <si>
    <t>HARINA DE MAIZ PARA TAMAL MASECA 1K (10)</t>
  </si>
  <si>
    <t>035-018</t>
  </si>
  <si>
    <t>HARINA P/PASTEL CHTE DEVI DUNCAN 432G(12</t>
  </si>
  <si>
    <t>035-020</t>
  </si>
  <si>
    <t>-HARINA P/PASTEL MANTEQ DUNCAN 432G (12)</t>
  </si>
  <si>
    <t>035-021</t>
  </si>
  <si>
    <t>HARINA P/PASTEL BLANCA DUNCAN 432G (12)</t>
  </si>
  <si>
    <t>035-033</t>
  </si>
  <si>
    <t>HARINA AZUL MASECA 1K (10)</t>
  </si>
  <si>
    <t>035-039</t>
  </si>
  <si>
    <t>HARINA P/PASTEL RED VELVET DUNCAN 432(12</t>
  </si>
  <si>
    <t>035-040</t>
  </si>
  <si>
    <t>HARINA ANTOJITOS MASECA 1K (10)</t>
  </si>
  <si>
    <t>035-041</t>
  </si>
  <si>
    <t>HARINA P/PASTEL VAINIL F, DUNCAN 432G(12</t>
  </si>
  <si>
    <t>035-051</t>
  </si>
  <si>
    <t>HARINA PERLA C/25K</t>
  </si>
  <si>
    <t>035-052</t>
  </si>
  <si>
    <t>HARINA DE TRIGO HOJA DE PLATA 25K</t>
  </si>
  <si>
    <t>035-054</t>
  </si>
  <si>
    <t>HARINA DE TRIGO ESPIGA CON PROTEINA 10K</t>
  </si>
  <si>
    <t>036-001</t>
  </si>
  <si>
    <t>-BEBIDA GATORADE LIMA-LIMON 500ML (24)</t>
  </si>
  <si>
    <t>036-003</t>
  </si>
  <si>
    <t>BEBIDA GATORADE NARANJA 500ML (24)</t>
  </si>
  <si>
    <t>036-004</t>
  </si>
  <si>
    <t>-BEBIDA GATORADE PONCHE DE FRUTA 500ML(2</t>
  </si>
  <si>
    <t>036-005</t>
  </si>
  <si>
    <t>BEBIDA GATORADE UVA 500ML (24)</t>
  </si>
  <si>
    <t>036-006</t>
  </si>
  <si>
    <t>SUERO COCO ELECTROLIT 625ML (12)</t>
  </si>
  <si>
    <t>036-007</t>
  </si>
  <si>
    <t>SUERO FRESA ELECTROLIT 625ML (12)</t>
  </si>
  <si>
    <t>036-008</t>
  </si>
  <si>
    <t>SUERO MANZANA ELECTROLIT 625ML (12)</t>
  </si>
  <si>
    <t>036-010</t>
  </si>
  <si>
    <t>SUERO UVA ELECTROLIT 625ML (12)</t>
  </si>
  <si>
    <t>036-011</t>
  </si>
  <si>
    <t>- BEBIDA RED BULL C/4/250 ML(6)</t>
  </si>
  <si>
    <t>036-025</t>
  </si>
  <si>
    <t>SUERO NARANJA MAND ELECTROLIT 625ML (12)</t>
  </si>
  <si>
    <t>036-026</t>
  </si>
  <si>
    <t>SUERO LIMA-LIMON ELECTROLIT 625ML (12)</t>
  </si>
  <si>
    <t>037-079</t>
  </si>
  <si>
    <t>-JUGO NARANJA CITRUS TAMPICO 3.79L (6)</t>
  </si>
  <si>
    <t>037-135</t>
  </si>
  <si>
    <t>-JUGO NARANJA CITRUS TAMPICO 1L (16)</t>
  </si>
  <si>
    <t>039-007</t>
  </si>
  <si>
    <t>#LECHE CARNATION 360 ML (48)</t>
  </si>
  <si>
    <t>039-011</t>
  </si>
  <si>
    <t>#CARNATION LECHE EVAPORADA 1 KG (12)</t>
  </si>
  <si>
    <t>040-010</t>
  </si>
  <si>
    <t>LECHE DE COCO CALAHUA 330ML (12)</t>
  </si>
  <si>
    <t>040-011</t>
  </si>
  <si>
    <t>LECHE DE COCO CALAHUA 1L (6)</t>
  </si>
  <si>
    <t>040-012</t>
  </si>
  <si>
    <t>LECHE DE COCO ORGANICA CALAHUA 1L (6)</t>
  </si>
  <si>
    <t>040-013</t>
  </si>
  <si>
    <t>LECHE DE COCO VAINILLA CALAHUA 1L (6)</t>
  </si>
  <si>
    <t>040-014</t>
  </si>
  <si>
    <t>LECHE DE COCO ALMENDRA CALAHUA 1L (6)</t>
  </si>
  <si>
    <t>040-024</t>
  </si>
  <si>
    <t>-LECHE DESLACTOSADA ALPURA 1L (12)</t>
  </si>
  <si>
    <t>040-033</t>
  </si>
  <si>
    <t>-PRODUCTO LACTEO VAIL 1 LTO (12)</t>
  </si>
  <si>
    <t>040-041</t>
  </si>
  <si>
    <t>LECHE SAN MARCOS ENTERA 1L (12)</t>
  </si>
  <si>
    <t>040-043</t>
  </si>
  <si>
    <t>LECHE DESLACTOSADA GRANJA 1L (12)</t>
  </si>
  <si>
    <t>040-044</t>
  </si>
  <si>
    <t>FORMULA LACTEA UHT MAS NUTRE 1L (12)</t>
  </si>
  <si>
    <t>043-011</t>
  </si>
  <si>
    <t>MANTECA VEGETAL TAPATIA 25K</t>
  </si>
  <si>
    <t>044-049</t>
  </si>
  <si>
    <t>-MAYONESA LIMON HEINZ CUBETA 13 KG</t>
  </si>
  <si>
    <t>044-055</t>
  </si>
  <si>
    <t>MAYONESA REGULAR WILSEY 3.78GR(4)</t>
  </si>
  <si>
    <t>044-063</t>
  </si>
  <si>
    <t>#MAYONESA CON LIMON MC 390G (12)</t>
  </si>
  <si>
    <t>044-066</t>
  </si>
  <si>
    <t>-MAY HELL REAL 3.8K + MAY HELL REAL 1.9K</t>
  </si>
  <si>
    <t>045-037</t>
  </si>
  <si>
    <t>MERMELADA FRESA MUDENAS C/140/20G</t>
  </si>
  <si>
    <t>045-045</t>
  </si>
  <si>
    <t>MERMELADA ZARZAMORA BONLATTI CUBETA 5 KG</t>
  </si>
  <si>
    <t>045-046</t>
  </si>
  <si>
    <t>MERMELADA DE PIÑA BONLATTI CUBETA 5 KG</t>
  </si>
  <si>
    <t>045-047</t>
  </si>
  <si>
    <t>MERMELADA DE FRESA BONLATTI CUBETA 5 KG</t>
  </si>
  <si>
    <t>045-048</t>
  </si>
  <si>
    <t>-MERMELADA CHABACANO CLEMENTE 470G (12)</t>
  </si>
  <si>
    <t>045-049</t>
  </si>
  <si>
    <t>CUBETA MERMELADA FRESA NATURASOL 4.5KG</t>
  </si>
  <si>
    <t>046-016</t>
  </si>
  <si>
    <t>MIEL DE ABEJA CIERVO 1 LTO (12)</t>
  </si>
  <si>
    <t>046-022</t>
  </si>
  <si>
    <t>MIEL DE ABEJA MUDENAS C/140/20GR</t>
  </si>
  <si>
    <t>047-004</t>
  </si>
  <si>
    <t>CHOCOLATE CHOCO MILK 1.750 GR. (6)</t>
  </si>
  <si>
    <t>048-016</t>
  </si>
  <si>
    <t>MOLE GALA 265 GR (24)</t>
  </si>
  <si>
    <t>048-017</t>
  </si>
  <si>
    <t>ACHIOTE ANITA 110 GR. (50)</t>
  </si>
  <si>
    <t>048-018</t>
  </si>
  <si>
    <t>ACHIOTE ANITA 1 KG (12)</t>
  </si>
  <si>
    <t>048-033</t>
  </si>
  <si>
    <t>#ACHIOTE PASTA EL YUCATECO 100 GR(24)</t>
  </si>
  <si>
    <t>051-004</t>
  </si>
  <si>
    <t>EMPANIZADOR LA MODERNA C/2/5KG</t>
  </si>
  <si>
    <t>051-020</t>
  </si>
  <si>
    <t>PAN MOLIDO GOURMET PANKO 9.07 KG</t>
  </si>
  <si>
    <t>052-011</t>
  </si>
  <si>
    <t>PASTA FIOR DI P. FIDEO M. C/20/200G*</t>
  </si>
  <si>
    <t>052-022</t>
  </si>
  <si>
    <t>PASTA FONTANELLA ESTRELLA C/20/200G</t>
  </si>
  <si>
    <t>052-067</t>
  </si>
  <si>
    <t>PASTA LA MODERNA FIDEO NO.2 200GR (20)</t>
  </si>
  <si>
    <t>052-078</t>
  </si>
  <si>
    <t>PASTA LA MODERNA CODO INTEGRAL C/20/200G</t>
  </si>
  <si>
    <t>052-079</t>
  </si>
  <si>
    <t>PASTA LA MODERNA F.MED INTEGRAL C/20/200</t>
  </si>
  <si>
    <t>052-080</t>
  </si>
  <si>
    <t>PASTA LA MODERNA SPAGHETTI INT. C/20/200</t>
  </si>
  <si>
    <t>052-085</t>
  </si>
  <si>
    <t>PASTA FIOR DI P. ALFABETO 200 GR (20)</t>
  </si>
  <si>
    <t>052-086</t>
  </si>
  <si>
    <t>PASTA FIOR DI P. CODO 200 GR (20)</t>
  </si>
  <si>
    <t>052-087</t>
  </si>
  <si>
    <t>PASTA FIOR DI P. CONCHA 200 GR (20)</t>
  </si>
  <si>
    <t>052-088</t>
  </si>
  <si>
    <t>PASTA FIOR DI P. FUSSILLI 200GR (20)</t>
  </si>
  <si>
    <t>052-089</t>
  </si>
  <si>
    <t>PASTA FIOR DI P. MACARRON 200 GR (20)</t>
  </si>
  <si>
    <t>052-090</t>
  </si>
  <si>
    <t>PASTA FIOR DI P. PLUMA 200 GR (20)</t>
  </si>
  <si>
    <t>052-091</t>
  </si>
  <si>
    <t>PASTA FIOR DI P. SPAGHETTI 200 GR (20)</t>
  </si>
  <si>
    <t>052-092</t>
  </si>
  <si>
    <t>PASTA FIOR DI P. TALLARIN 200 GR (20)</t>
  </si>
  <si>
    <t>052-094</t>
  </si>
  <si>
    <t>PASTA FONTANELLA ALFABETOS 200 GR(20)</t>
  </si>
  <si>
    <t>052-095</t>
  </si>
  <si>
    <t>PASTA FONTANELLA FIDEO MEDIANO 200GR(20)</t>
  </si>
  <si>
    <t>052-115</t>
  </si>
  <si>
    <t>-CODO C/QUESO MODERNA 200 GR (20)</t>
  </si>
  <si>
    <t>052-117</t>
  </si>
  <si>
    <t>PASTA FETTUCCINE BARILLA 4KG(3)</t>
  </si>
  <si>
    <t>052-118</t>
  </si>
  <si>
    <t>PASTA YEMINA FIDEO MEDIANO 4KG (3)</t>
  </si>
  <si>
    <t>052-119</t>
  </si>
  <si>
    <t>PASTA YEMINA SPAGHETTI  4KG (3)</t>
  </si>
  <si>
    <t>052-120</t>
  </si>
  <si>
    <t>SOPA DE SEÑAS LA MODERNA  200GR (20)</t>
  </si>
  <si>
    <t>053-001</t>
  </si>
  <si>
    <t>LEVADURA NEVADA 450 GR (20)</t>
  </si>
  <si>
    <t>053-013</t>
  </si>
  <si>
    <t>-MEJORANTE DE PAN DULCE PLUSPAN 440GR (2</t>
  </si>
  <si>
    <t>055-009</t>
  </si>
  <si>
    <t>PURE DE PAPA VERDE VALLE 2 KG</t>
  </si>
  <si>
    <t>055-010</t>
  </si>
  <si>
    <t>PURE DE PAPA VERDE VALLE 160 GR (24)</t>
  </si>
  <si>
    <t>056-014</t>
  </si>
  <si>
    <t>PASTA TOMATE PRINSA *BOLSA* 3 KG (6)</t>
  </si>
  <si>
    <t>056-115</t>
  </si>
  <si>
    <t>PASTA FIOR DI P. ESTRELA 200 GR (20)</t>
  </si>
  <si>
    <t>057-004</t>
  </si>
  <si>
    <t>QUESO CHEEZ WHIZ 235 GR. (24)</t>
  </si>
  <si>
    <t>057-006</t>
  </si>
  <si>
    <t>QUESO P/NACHOS RICOS 3KG (6)</t>
  </si>
  <si>
    <t>057-020|</t>
  </si>
  <si>
    <t>Q. CHEDDAR P/NACHOS GEHL'S POUCH 3KG (6)</t>
  </si>
  <si>
    <t>058-001</t>
  </si>
  <si>
    <t>SAL LA FINA SALERO 250 GR. (16)</t>
  </si>
  <si>
    <t>058-002</t>
  </si>
  <si>
    <t>SAL LA FINA BOTE 1 KG. (12)</t>
  </si>
  <si>
    <t>058-003</t>
  </si>
  <si>
    <t>-SAL LA FINA C/25/500 GR</t>
  </si>
  <si>
    <t>058-005</t>
  </si>
  <si>
    <t>-SAL PALOMA 500 GR (40)</t>
  </si>
  <si>
    <t>058-006</t>
  </si>
  <si>
    <t>SAL PALOMA 1 KG (20)</t>
  </si>
  <si>
    <t>058-014</t>
  </si>
  <si>
    <t>SAL MARINO PORC C/3000/5 GR</t>
  </si>
  <si>
    <t>058-018</t>
  </si>
  <si>
    <t>SAL MAR DE CORTES GRANULAR PRAGNA 1KG(8)</t>
  </si>
  <si>
    <t>058-022</t>
  </si>
  <si>
    <t>SAL MAR DE CORTES  PRAGNA 1.2KG BOTE(12)</t>
  </si>
  <si>
    <t>058-046</t>
  </si>
  <si>
    <t>SAL DEPS REFINADA YODADA 25 KG</t>
  </si>
  <si>
    <t>058-047</t>
  </si>
  <si>
    <t>SAL DE GRANO LA FINA BOLSA 1KG (18)</t>
  </si>
  <si>
    <t>058-049</t>
  </si>
  <si>
    <t>SAL DELAGG PORC C/3000/.5 GR</t>
  </si>
  <si>
    <t>060-018</t>
  </si>
  <si>
    <t>SALSA LA GUACAMAYA HABANERA 500/9 ML</t>
  </si>
  <si>
    <t>060-020</t>
  </si>
  <si>
    <t>SALSA LOLTUN HABANERA ROJA 950 ML (12)</t>
  </si>
  <si>
    <t>060-022</t>
  </si>
  <si>
    <t>SALSA LA GUACAMAYA TRADICIONAL 1LTO (12)</t>
  </si>
  <si>
    <t>060-026</t>
  </si>
  <si>
    <t>SALSA ROJA VALENTINA 1 LTO (12)</t>
  </si>
  <si>
    <t>060-027</t>
  </si>
  <si>
    <t>SALSA ROJA VALENTINA 370 ML (24)</t>
  </si>
  <si>
    <t>060-029</t>
  </si>
  <si>
    <t>SALSA SAN LUIS 1 LTO (12)</t>
  </si>
  <si>
    <t>060-054</t>
  </si>
  <si>
    <t>-SALSA CHAMOY TORITO 1 LTO (12)</t>
  </si>
  <si>
    <t>060-077</t>
  </si>
  <si>
    <t>SALSA PICANTE MARISCOS VALENTINA 370M(24</t>
  </si>
  <si>
    <t>060-084</t>
  </si>
  <si>
    <t>-SALSA LOLTUN HABANERA ROJA 4 KG (4)</t>
  </si>
  <si>
    <t>061-008</t>
  </si>
  <si>
    <t>SALSA LA GUACAMAYA HABANERA 150ML (24)</t>
  </si>
  <si>
    <t>061-009</t>
  </si>
  <si>
    <t>SALSA LA GUACAMAYA TRAD 150 ML (24)</t>
  </si>
  <si>
    <t>061-010</t>
  </si>
  <si>
    <t>SALSA LOLTUN HABANERA ROJA150 ML (24)</t>
  </si>
  <si>
    <t>061-016</t>
  </si>
  <si>
    <t>SALSA HUICHOL PICANTE 190ML (24)</t>
  </si>
  <si>
    <t>061-024</t>
  </si>
  <si>
    <t>SALSA DE CHILE SRIRACHA 28 OZ 740 ML(12)</t>
  </si>
  <si>
    <t>061-038</t>
  </si>
  <si>
    <t>SALSA HUICHOL NEGRA 190ML (24)</t>
  </si>
  <si>
    <t>062-002</t>
  </si>
  <si>
    <t>SARDINA EN TOMATE GUAYMEX 425 GR (24)</t>
  </si>
  <si>
    <t>062-004</t>
  </si>
  <si>
    <t>-SARDINA PONTO ACEI.SOYA PICA 120GR(24)</t>
  </si>
  <si>
    <t>062-006</t>
  </si>
  <si>
    <t>-SARDINA EN ACEITE GUAYMEX 425 GR (24)</t>
  </si>
  <si>
    <t>063-008</t>
  </si>
  <si>
    <t>SAZONADOR CAJUN PRAGNA 690GR (12)</t>
  </si>
  <si>
    <t>063-010</t>
  </si>
  <si>
    <t>SAZON FINAS HIERBAS (ITAL)PRAGN275G (12)</t>
  </si>
  <si>
    <t>063-015</t>
  </si>
  <si>
    <t>SAZONADOR P/FAJITAS PRAGNA 885GR (12)</t>
  </si>
  <si>
    <t>063-048</t>
  </si>
  <si>
    <t>-SAZONADOR  AJO Y HIERBAS PRAGNA 734G(12</t>
  </si>
  <si>
    <t>064-034</t>
  </si>
  <si>
    <t>-SOYA TEXTURIZADA 1KG (10)</t>
  </si>
  <si>
    <t>064-056</t>
  </si>
  <si>
    <t>LENTEJA NOR-VER 500 GR (20)</t>
  </si>
  <si>
    <t>064-059</t>
  </si>
  <si>
    <t>-LENTEJA PAISA 500 GR (20)</t>
  </si>
  <si>
    <t>064-060</t>
  </si>
  <si>
    <t>LENTEJA VERDE VALLE 500 GR (20)</t>
  </si>
  <si>
    <t>064-064</t>
  </si>
  <si>
    <t>SAZONADOR FLEMING HOT  1 KG (15)</t>
  </si>
  <si>
    <t>065-009</t>
  </si>
  <si>
    <t>-SOPA MARUCHAN RES 64 GR (12)</t>
  </si>
  <si>
    <t>065-012</t>
  </si>
  <si>
    <t>-SOPA NISSIN POLLO 12/64 GR.</t>
  </si>
  <si>
    <t>065-014</t>
  </si>
  <si>
    <t>-SOPA NISSIN RES 12/64 GR.</t>
  </si>
  <si>
    <t>066-033</t>
  </si>
  <si>
    <t>TE TWININGS MANZANILLA PURA 20GR (12)</t>
  </si>
  <si>
    <t>067-042</t>
  </si>
  <si>
    <t>CHAMPINON CHAMPIMEX REB.62ONZ.2.835GR(6)</t>
  </si>
  <si>
    <t>067-096</t>
  </si>
  <si>
    <t>MAIZ POZOLERO EL MEXICANO 3KG (6)</t>
  </si>
  <si>
    <t>067-098</t>
  </si>
  <si>
    <t>CHAMPIÑON REBANADO EL MEXICANO 2.8K</t>
  </si>
  <si>
    <t>067-110</t>
  </si>
  <si>
    <t>CUARTOS DE ALCACHOFA SAN MIGUEL 900GR(12</t>
  </si>
  <si>
    <t>068-001</t>
  </si>
  <si>
    <t>VINAGRE BLANCO CIERVO 1LTO (12)</t>
  </si>
  <si>
    <t>068-002</t>
  </si>
  <si>
    <t>VINAGRE BLANCO CIERVO 4LTS (4)</t>
  </si>
  <si>
    <t>068-003</t>
  </si>
  <si>
    <t>VINAGRE MANZANA CIERVO 1 LTO (12)</t>
  </si>
  <si>
    <t>068-004</t>
  </si>
  <si>
    <t>VINAGRE MANZANA CIERVO 4LTS (4)</t>
  </si>
  <si>
    <t>069-003</t>
  </si>
  <si>
    <t>BANDERILLA PINGUINO 15CM 50PZ (200)</t>
  </si>
  <si>
    <t>069-020</t>
  </si>
  <si>
    <t>CHOCOLATE M&amp;M CAFE 226GR  C/6 (24)</t>
  </si>
  <si>
    <t>069-021</t>
  </si>
  <si>
    <t>CHOCOLATE SNICKERS C/6 PZA. (32)</t>
  </si>
  <si>
    <t>069-022</t>
  </si>
  <si>
    <t>CHOCOLATE MILKY WAY C/6 PZA. (32)</t>
  </si>
  <si>
    <t>069-023</t>
  </si>
  <si>
    <t>CHOCOLATE M&amp;M AMARILLO 225GR C/6 PZ (36)</t>
  </si>
  <si>
    <t>069-025</t>
  </si>
  <si>
    <t>HERSHEY'S COCOA 5 KG (2)</t>
  </si>
  <si>
    <t>069-026</t>
  </si>
  <si>
    <t>HERSHEY'S SYRUP CHTE. 589 ML (24)</t>
  </si>
  <si>
    <t>069-027</t>
  </si>
  <si>
    <t>HERSHEY'S COCOA 200 GR (20)</t>
  </si>
  <si>
    <t>069-028</t>
  </si>
  <si>
    <t>HERSHEY'S LIQUIDO 3.4 LTS. (4)</t>
  </si>
  <si>
    <t>069-033</t>
  </si>
  <si>
    <t>BICARBONATO PROMESA 220 GR (50)</t>
  </si>
  <si>
    <t>069-034</t>
  </si>
  <si>
    <t>FRESH GOURMET CROUTON COR.454G(10</t>
  </si>
  <si>
    <t>069-041</t>
  </si>
  <si>
    <t>GOLOS TAMARINDO BOKADOS 490 GR (14)</t>
  </si>
  <si>
    <t>069-064</t>
  </si>
  <si>
    <t>-HUEVO SAN JUAN EMPLAYADO C/30PZS (10)</t>
  </si>
  <si>
    <t>069-068</t>
  </si>
  <si>
    <t>BANDERILLA TAMAR BETAMEX VITRO C/50Pz(6)</t>
  </si>
  <si>
    <t>069-071</t>
  </si>
  <si>
    <t>BOCADIN C/50/10.5 GR (12)</t>
  </si>
  <si>
    <t>069-090</t>
  </si>
  <si>
    <t>-CHOCOLATE CARLOS V SUIZO 16/18G (28)</t>
  </si>
  <si>
    <t>069-092</t>
  </si>
  <si>
    <t>HERSHEY'S SYRUP FRESA 589 ML (6)</t>
  </si>
  <si>
    <t>069-095</t>
  </si>
  <si>
    <t>-CROUTONES ITALIANO MEMBERS M 907GR</t>
  </si>
  <si>
    <t>069-096</t>
  </si>
  <si>
    <t>BICARBONATO REXAL 220 GR (24)</t>
  </si>
  <si>
    <t>070-025</t>
  </si>
  <si>
    <t>PAPEL ALUMINIO AHORRAMAS 3 KG (4)</t>
  </si>
  <si>
    <t>070-026</t>
  </si>
  <si>
    <t>PAPEL ALUMINIO AHORRAMAS 7 MTS (24)</t>
  </si>
  <si>
    <t>070-027</t>
  </si>
  <si>
    <t>ALUMINIO 30X27 SUPER IDEAL C/150 H (10)</t>
  </si>
  <si>
    <t>071-010</t>
  </si>
  <si>
    <t>-GLADE HAWAIIAN BREEZE 400ML *(12)</t>
  </si>
  <si>
    <t>075-009</t>
  </si>
  <si>
    <t>CONTENEDOR 8X8 DIVISION LEONC/200PZA</t>
  </si>
  <si>
    <t>075-010</t>
  </si>
  <si>
    <t>CONTENEDOR 8X8 LISO LEON C/200PZA</t>
  </si>
  <si>
    <t>075-011</t>
  </si>
  <si>
    <t>CONTENEDOR 9X9 DIVISION REYMA C/200PZA</t>
  </si>
  <si>
    <t>075-012</t>
  </si>
  <si>
    <t>CONTENEDOR 9X9 LISO REYMA C/200</t>
  </si>
  <si>
    <t>075-020</t>
  </si>
  <si>
    <t>CUCHARA FANTASY MED C/25 PZA (40)</t>
  </si>
  <si>
    <t>075-043</t>
  </si>
  <si>
    <t>SOUFFLE TRANSP.SOLO(S200) 2OZ 2500</t>
  </si>
  <si>
    <t>075-044</t>
  </si>
  <si>
    <t>SOUFFLE TRANSP 4OZ SOLO P400N C/2500</t>
  </si>
  <si>
    <t>075-045</t>
  </si>
  <si>
    <t>SOUFFLE TRANSPARENTE DART 2 OZ 2500PZ</t>
  </si>
  <si>
    <t>075-082</t>
  </si>
  <si>
    <t>VASO PLASTICO NO.7 REYMA C/50 PZA (20)</t>
  </si>
  <si>
    <t>075-083</t>
  </si>
  <si>
    <t>VASO PLASTICO REYMA #16  C/25 PZAS.(40)</t>
  </si>
  <si>
    <t>075-085</t>
  </si>
  <si>
    <t>VASO TERMICO 8 OZ.DART 8J8 C/25PZS (40)</t>
  </si>
  <si>
    <t>075-094</t>
  </si>
  <si>
    <t>TENEDOR MEDIANO GARDUÑO C/25 (40)</t>
  </si>
  <si>
    <t>075-096</t>
  </si>
  <si>
    <t>TENEDOR MEDIANO GARDUÑO C/2/500 PZS</t>
  </si>
  <si>
    <t>075-097</t>
  </si>
  <si>
    <t>CUCHARA BLANCA MED #3 GARDUÑO C/25 (40)</t>
  </si>
  <si>
    <t>075-100</t>
  </si>
  <si>
    <t>CUCHARA MEDIANA GARDUÑO C/2/500 PZS</t>
  </si>
  <si>
    <t>075-102</t>
  </si>
  <si>
    <t>CUCHILLO # 3 MEDIANO GARDUÑO C/25 (40)</t>
  </si>
  <si>
    <t>075-103</t>
  </si>
  <si>
    <t>CUCHILLO # 3 MEDIANO GARDUÑO C/2/500 PZS</t>
  </si>
  <si>
    <t>075-113</t>
  </si>
  <si>
    <t>VASO TERMICO 10 OZ. DART 10J10 C/25 (40)</t>
  </si>
  <si>
    <t>075-114</t>
  </si>
  <si>
    <t>VASO TERMICO 12 OZ. DART 12J12 C/25 (40)</t>
  </si>
  <si>
    <t>075-119</t>
  </si>
  <si>
    <t>TAZON TERMICO 8 OZ.DART 8SJ20 C/25 (40)</t>
  </si>
  <si>
    <t>075-154</t>
  </si>
  <si>
    <t>TAPA P/TAZON DART 8OZ  20JL C/100 (10)</t>
  </si>
  <si>
    <t>075-175</t>
  </si>
  <si>
    <t>CONTENEDOR 7X7 DIVISION REYMA C/200PZA B</t>
  </si>
  <si>
    <t>076-009</t>
  </si>
  <si>
    <t>DESENGRASANTE VARSSET GALON 4 LTS</t>
  </si>
  <si>
    <t>076-014</t>
  </si>
  <si>
    <t>ACIDO MURIATEX ALAMO 1 L (12)</t>
  </si>
  <si>
    <t>077-006</t>
  </si>
  <si>
    <t>-DETERGENTE ARIEL OXI AZUL 850 GR.(10</t>
  </si>
  <si>
    <t>077-012</t>
  </si>
  <si>
    <t>DETERGENTE ARCOIRIS 800 GR (18)</t>
  </si>
  <si>
    <t>077-013</t>
  </si>
  <si>
    <t>DETERGENTE ARCOIRIS 1/9 KG.</t>
  </si>
  <si>
    <t>077-016</t>
  </si>
  <si>
    <t>DETERGENTE FOCA 1 KG (10)</t>
  </si>
  <si>
    <t>077-017</t>
  </si>
  <si>
    <t>DETERGENTE ROMA 250 GR (40)</t>
  </si>
  <si>
    <t>077-018</t>
  </si>
  <si>
    <t>DETERGENTE ROMA 500 GR (20)</t>
  </si>
  <si>
    <t>077-019</t>
  </si>
  <si>
    <t>DETERGENTE ROMA 1 KG (10)</t>
  </si>
  <si>
    <t>077-021</t>
  </si>
  <si>
    <t>DETERGENTE ROMA 10 KG</t>
  </si>
  <si>
    <t>077-025</t>
  </si>
  <si>
    <t>DETERGENTE BLANCA NIEVES 250 GR (40)</t>
  </si>
  <si>
    <t>077-027</t>
  </si>
  <si>
    <t>DETERGENTE BLANCA NIEVES 1KG (10)</t>
  </si>
  <si>
    <t>077-049</t>
  </si>
  <si>
    <t>CLORO 20 LTS VARSSET *</t>
  </si>
  <si>
    <t>078-015</t>
  </si>
  <si>
    <t>-DETER.SALVO PLUS 250 (48)</t>
  </si>
  <si>
    <t>078-016</t>
  </si>
  <si>
    <t>DETER.SALVO PLUS  500GR (20)</t>
  </si>
  <si>
    <t>078-025</t>
  </si>
  <si>
    <t>-SALVO LIMON LIQ. 900ML (12)</t>
  </si>
  <si>
    <t>078-026</t>
  </si>
  <si>
    <t>DETERGENTE AXION 720GR (18)</t>
  </si>
  <si>
    <t>078-028</t>
  </si>
  <si>
    <t>LAVATRASTES LIMON VARSSET GALON 4 LTS</t>
  </si>
  <si>
    <t>079-001</t>
  </si>
  <si>
    <t>ENCENDEDOR TOKAI PZA. (25)</t>
  </si>
  <si>
    <t>081-009</t>
  </si>
  <si>
    <t>-RAID CASA/JARD 400GR AEROSOL (12)</t>
  </si>
  <si>
    <t>081-012</t>
  </si>
  <si>
    <t>-INSEC.BAYGON VERDE AEROSOL 400 ML (12)</t>
  </si>
  <si>
    <t>082-002</t>
  </si>
  <si>
    <t>JABON ZOTE BLANCO 400GR. (25)</t>
  </si>
  <si>
    <t>083-004</t>
  </si>
  <si>
    <t>-FIBRA BLANCA P66 S.B. 146X92MM (72)</t>
  </si>
  <si>
    <t>083-007</t>
  </si>
  <si>
    <t>FIBRA ESPONJA P94 SCOTCH BRITE (72)</t>
  </si>
  <si>
    <t>083-009</t>
  </si>
  <si>
    <t>FIBRA NEGRA P76 PZA 92MMX146MM (72)</t>
  </si>
  <si>
    <t>083-013</t>
  </si>
  <si>
    <t>FIBRA VERDE P96 PZA 229X152MM (12/12)</t>
  </si>
  <si>
    <t>083-017</t>
  </si>
  <si>
    <t>MALLA METALICA PLUS BRITE JUMBO (50)</t>
  </si>
  <si>
    <t>083-027</t>
  </si>
  <si>
    <t>ESCOBA EXTRA GRANDE (12)</t>
  </si>
  <si>
    <t>083-035</t>
  </si>
  <si>
    <t>TRAPEADOR ALGODON NO.30 HILO SUAVE (12)</t>
  </si>
  <si>
    <t>083-091</t>
  </si>
  <si>
    <t>PAÑO MICROFIBRA AMARILLO 40.6X40.6 (36)</t>
  </si>
  <si>
    <t>084-001</t>
  </si>
  <si>
    <t>-EASY OFF PASTA 238 GR (12)</t>
  </si>
  <si>
    <t>084-010</t>
  </si>
  <si>
    <t>LIMPIA VIDRIOS MR. MUSCULO 650 ML (12)</t>
  </si>
  <si>
    <t>087-014</t>
  </si>
  <si>
    <t>BOLSA NEGRA P/BASURA GENE.90X1.20 1K(25)</t>
  </si>
  <si>
    <t>087-020</t>
  </si>
  <si>
    <t>BOLSA PLASTICO 40X60 CALIB.300 C/1KG(25)</t>
  </si>
  <si>
    <t>087-035</t>
  </si>
  <si>
    <t>BOLSA PLASTICO 40X60 KG (25)</t>
  </si>
  <si>
    <t>087-037</t>
  </si>
  <si>
    <t>BOLSA PLASTICO 50X70  C/1 KG (25)</t>
  </si>
  <si>
    <t>087-045</t>
  </si>
  <si>
    <t>PAPEL ENVOLTURA 1 KG (50)</t>
  </si>
  <si>
    <t>087-053</t>
  </si>
  <si>
    <t>BOLSA CAMISETA REYMA GDE BCA 1KG (25)</t>
  </si>
  <si>
    <t>087-055</t>
  </si>
  <si>
    <t>BOLSA P/BOLLO REYMA 10X20 1KG(25)</t>
  </si>
  <si>
    <t>087-061</t>
  </si>
  <si>
    <t>BOLSA P/BASURA ANGUIPLAST 50X70 (25)</t>
  </si>
  <si>
    <t>087-062</t>
  </si>
  <si>
    <t>BOLSA TLANSPARENTE PLA-GON 70X90 (25)</t>
  </si>
  <si>
    <t>087-063</t>
  </si>
  <si>
    <t>BOLSA P/BASURA ANGUIPLAST 90X1.20 (25)</t>
  </si>
  <si>
    <t>087-075</t>
  </si>
  <si>
    <t>BOLSA P/BASURA NEGRA PLA-GON 90X1.20(25)</t>
  </si>
  <si>
    <t>087-077</t>
  </si>
  <si>
    <t>BOLSA TRANSPARENTE PLA-GON 90X1.20 (25)</t>
  </si>
  <si>
    <t>087-078</t>
  </si>
  <si>
    <t>BOLSA  TRANSP. REYMA 90x1.20 (25)</t>
  </si>
  <si>
    <t>087-080</t>
  </si>
  <si>
    <t>BOLSA CAMISETA BIODEGRADABLE MED.1KG(25)</t>
  </si>
  <si>
    <t>087-081</t>
  </si>
  <si>
    <t>BOLSA CAMISETA BIODEGRADABLE GDE.1KG(25)</t>
  </si>
  <si>
    <t>087-089</t>
  </si>
  <si>
    <t>BOLSA  TRANSPARENTE  60X90 1 KG (25)</t>
  </si>
  <si>
    <t>087-095</t>
  </si>
  <si>
    <t>BOLSA P/BASURA NEGRA PLA-GON 50x70 (25)</t>
  </si>
  <si>
    <t>088-001</t>
  </si>
  <si>
    <t>-VANISH REMOV. MANCHAS 420 ML. (12)</t>
  </si>
  <si>
    <t>093-017</t>
  </si>
  <si>
    <t>TOALLA INTERDOBLADAS PETALO  C/20/150PZS</t>
  </si>
  <si>
    <t>096-006</t>
  </si>
  <si>
    <t>-PAPEL KLEENEX C/400 H.S. ROLLO(80)</t>
  </si>
  <si>
    <t>096-012</t>
  </si>
  <si>
    <t>PAPEL HIGIENICO IRIS C/4PZS 160H (24)</t>
  </si>
  <si>
    <t>097-009</t>
  </si>
  <si>
    <t>SERVILLETA KLEENEX ELEGAN C/100 PZA.(12)</t>
  </si>
  <si>
    <t>097-019</t>
  </si>
  <si>
    <t>SERVILLETA PETALO C/220 HOJAS (24)</t>
  </si>
  <si>
    <t>097-020</t>
  </si>
  <si>
    <t>SERVILLETA PETALO C/420 HOJAS (12)</t>
  </si>
  <si>
    <t>097-028</t>
  </si>
  <si>
    <t>SERVILLETA MAX C/450 HOJAS (12)</t>
  </si>
  <si>
    <t>101-004</t>
  </si>
  <si>
    <t>PALILLO MULTICHEF C/12/250 PZS (24)</t>
  </si>
  <si>
    <t>101-008</t>
  </si>
  <si>
    <t>PALILLO ESTUCHADO POLY KING C/1000(12)</t>
  </si>
  <si>
    <t>101-012</t>
  </si>
  <si>
    <t>PALILLO PICUDOS C/12 250 PZA (9)</t>
  </si>
  <si>
    <t>101-014</t>
  </si>
  <si>
    <t>PALILLO ESTUCHADO SOGA C/1000(48)</t>
  </si>
  <si>
    <t>109-015</t>
  </si>
  <si>
    <t>JABON ROSA VENUS 100 GR (60)</t>
  </si>
  <si>
    <t>109-016</t>
  </si>
  <si>
    <t>JABON ROSA VENUS 150 GR. (40)</t>
  </si>
  <si>
    <t>109-019</t>
  </si>
  <si>
    <t>JABON ZEST AQUA 135 GR  (72)</t>
  </si>
  <si>
    <t>110-029</t>
  </si>
  <si>
    <t>MANDIL POLIETILENO DESECHABLE C/100 (10)</t>
  </si>
  <si>
    <t>110-038</t>
  </si>
  <si>
    <t>CUBREBOCA PLISADO TRIPE C/50 PZAS</t>
  </si>
  <si>
    <t>110-040</t>
  </si>
  <si>
    <t>TOALLITAS DESINFECTANTES LYSOLC/80 (bote</t>
  </si>
  <si>
    <t>112-110</t>
  </si>
  <si>
    <t>GORRA ESCAFANDRA C/100 PZAS (10)</t>
  </si>
  <si>
    <t>116-032</t>
  </si>
  <si>
    <t>SHAMPOO P/MANOS ALMENDRAS VARSSET 4L</t>
  </si>
  <si>
    <t>119-014</t>
  </si>
  <si>
    <t>CIGARROS MARLBORO ROJO CJ.SUAVE C/20</t>
  </si>
  <si>
    <t>119-029</t>
  </si>
  <si>
    <t>CIGARROS MARLBORO RED CAPS 100  C/20</t>
  </si>
  <si>
    <t>119-030</t>
  </si>
  <si>
    <t>CIGARROS MARLBORO LIGTH 100 CAPS  C/20</t>
  </si>
  <si>
    <t>128-009</t>
  </si>
  <si>
    <t>-CERVEZA TECATE 355ML 0.0 % ALCOHOL (24)</t>
  </si>
  <si>
    <t>029-026</t>
  </si>
  <si>
    <t>FRIJOLES RANCH STYLE 425G (24)</t>
  </si>
  <si>
    <t>001-001</t>
  </si>
  <si>
    <t>ACEITE AVE 800 ML (12)</t>
  </si>
  <si>
    <t>018-029</t>
  </si>
  <si>
    <t>CHILE CHIPOTLE DEL MONTE 2.9K (6)</t>
  </si>
  <si>
    <t>016-004</t>
  </si>
  <si>
    <t>SALSA TIPO CATSUP DEL MONTE 3.8K (6)</t>
  </si>
  <si>
    <t>056-001</t>
  </si>
  <si>
    <t>-PURE TOMATE NATURAL. DEL MTE 1LTO (12)</t>
  </si>
  <si>
    <t>027-007</t>
  </si>
  <si>
    <t>AJO PICADO DEL MONTE 283G (12)</t>
  </si>
  <si>
    <t>001-003</t>
  </si>
  <si>
    <t>ACEITE AVE 20L BIDON</t>
  </si>
  <si>
    <t>001-013</t>
  </si>
  <si>
    <t>ACEITE NUTRIOLI 400 ML (12)</t>
  </si>
  <si>
    <t>001-002</t>
  </si>
  <si>
    <t>ACEITE ACTION FRY AVE 10L (2) PET</t>
  </si>
  <si>
    <t>001-021</t>
  </si>
  <si>
    <t>ACEITE MANTEQUILLA PAM SPRAY 141G (12)</t>
  </si>
  <si>
    <t>067-016</t>
  </si>
  <si>
    <t>ELOTE GRANO DEL MONTE 2.9KG. (6)</t>
  </si>
  <si>
    <t>018-027</t>
  </si>
  <si>
    <t>CHILE CHIPOTLE DEL MONTE 205G (24)</t>
  </si>
  <si>
    <t>067-014</t>
  </si>
  <si>
    <t>ELOTE GRANO DEL MONTE 225 GR (24)</t>
  </si>
  <si>
    <t>052-032</t>
  </si>
  <si>
    <t>PASTA LASAGNE BARILLA 500GR (15)</t>
  </si>
  <si>
    <t>049-001</t>
  </si>
  <si>
    <t>-MOSTAZA MC 115 GR (24)</t>
  </si>
  <si>
    <t>074-002</t>
  </si>
  <si>
    <t>CLORALEX 500 ML MEDIANO (20)</t>
  </si>
  <si>
    <t>074-006</t>
  </si>
  <si>
    <t>CLORALEX 3.75 LTS FAMILIAR (6)</t>
  </si>
  <si>
    <t>018-028</t>
  </si>
  <si>
    <t>CHILE CHIPOTLE DEL MONTE 400G (24)</t>
  </si>
  <si>
    <t>074-003</t>
  </si>
  <si>
    <t>CLORALEX 950 ML (12)</t>
  </si>
  <si>
    <t>001-037</t>
  </si>
  <si>
    <t>ACEITE AVE 400 ML (12)</t>
  </si>
  <si>
    <t>074-021</t>
  </si>
  <si>
    <t>CLORALEX 10 LTS RENDIDOR</t>
  </si>
  <si>
    <t>001-014</t>
  </si>
  <si>
    <t>ACEITE NUTRIOLI 890 ML (12)</t>
  </si>
  <si>
    <t>085-045</t>
  </si>
  <si>
    <t>PINOL AROMAS LAVANDA 828 ML (12)</t>
  </si>
  <si>
    <t>059-026</t>
  </si>
  <si>
    <t>SALSA SOYA KIKOMAN 148 ML (12)</t>
  </si>
  <si>
    <t>085-046</t>
  </si>
  <si>
    <t>PINOL AROMAS FLORAL 828 ML (12)</t>
  </si>
  <si>
    <t>059-012</t>
  </si>
  <si>
    <t>SALSA HUNT'S TRADI. TETRA 360 * (24)</t>
  </si>
  <si>
    <t>059-010</t>
  </si>
  <si>
    <t>SALSA HUNT'S 4QUESO TETRA 360 * (24)</t>
  </si>
  <si>
    <t>016-001</t>
  </si>
  <si>
    <t>SALSA CATSUP DEL MONTE 220G (24)</t>
  </si>
  <si>
    <t>059-002</t>
  </si>
  <si>
    <t>SALSA BARBECUE HUNTS ORIG.620 GR. (12)</t>
  </si>
  <si>
    <t>016-002</t>
  </si>
  <si>
    <t>SALSA CATSUP DEL MONTE  320G(24)</t>
  </si>
  <si>
    <t>067-015</t>
  </si>
  <si>
    <t>ELOTE GRANO DELMONTE 400GR (24)</t>
  </si>
  <si>
    <t>067-001</t>
  </si>
  <si>
    <t>CHICHARO DEL MONTE 200GR (24)</t>
  </si>
  <si>
    <t>067-027</t>
  </si>
  <si>
    <t>ENSALADA CAMPESINA DEL MONTE 215GR (24)</t>
  </si>
  <si>
    <t>067-009</t>
  </si>
  <si>
    <t>CHICHARO C/ZANAHORIA DEL MONTE 215GR(24)</t>
  </si>
  <si>
    <t>067-010</t>
  </si>
  <si>
    <t>CHICHARO C/ZANAHORIA DEL MONTE 410GR(24)</t>
  </si>
  <si>
    <t>067-094</t>
  </si>
  <si>
    <t>ENSALADA CAMPESINA DEL MONTE 400GR (24)</t>
  </si>
  <si>
    <t>067-021</t>
  </si>
  <si>
    <t>ENSALADA VERDURAS DEL MONTE 215GR (24)</t>
  </si>
  <si>
    <t>067-022</t>
  </si>
  <si>
    <t>ENSALADA VERDURAS DEL MONTE 400GR (24)</t>
  </si>
  <si>
    <t>067-002</t>
  </si>
  <si>
    <t>CHICHARO DEL MONTE 410 GR (24)</t>
  </si>
  <si>
    <t>067-028</t>
  </si>
  <si>
    <t>GARBANZO DEL MONTE 400 GR (24)</t>
  </si>
  <si>
    <t>001-020</t>
  </si>
  <si>
    <t>ACEITE ORIGINAL PAM SPRAY 170G (12)</t>
  </si>
  <si>
    <t>061-004</t>
  </si>
  <si>
    <t>SALSA SOYA KIKOMAN 296 ML (12)</t>
  </si>
  <si>
    <t>061-006</t>
  </si>
  <si>
    <t>SALSA TERIYAKI KIKOMAN 296 ML (12)</t>
  </si>
  <si>
    <t>059-025</t>
  </si>
  <si>
    <t>SALSA SOYA KIKOMAN 1.89LTS (6)</t>
  </si>
  <si>
    <t>085-025</t>
  </si>
  <si>
    <t>PINOL 250 ML. REGULAR (20)</t>
  </si>
  <si>
    <t>061-044</t>
  </si>
  <si>
    <t>-SALSA BUFALO TAMPICO 60 ML  (24)</t>
  </si>
  <si>
    <t>056-004</t>
  </si>
  <si>
    <t>PURE TOMATE FUERTE COND. 210G * (24)</t>
  </si>
  <si>
    <t>056-005</t>
  </si>
  <si>
    <t>PURE TOMATE FUERTE COND. BRICK 345GR(24)</t>
  </si>
  <si>
    <t>061-015</t>
  </si>
  <si>
    <t>SALSA CHOLULA 150ML (12)</t>
  </si>
  <si>
    <t>030-012</t>
  </si>
  <si>
    <t>FRIJOL PINTO SALTILLO FRIJOLIN 906G (10)</t>
  </si>
  <si>
    <t>030-016</t>
  </si>
  <si>
    <t>FRIJOL NEGRO FRIJOLIN 906G (10)</t>
  </si>
  <si>
    <t>010-017</t>
  </si>
  <si>
    <t>COCTEL TOMATE/ALMEJA CLAMATO 473ML(12)</t>
  </si>
  <si>
    <t>010-016</t>
  </si>
  <si>
    <t>COCTEL TOMATE/ALMEJA CLAMATO 296ML(24)</t>
  </si>
  <si>
    <t>010-018</t>
  </si>
  <si>
    <t>COCTEL TOMATE/ALMEJA CLAMATO 946 ML(12</t>
  </si>
  <si>
    <t>010-019</t>
  </si>
  <si>
    <t>COCTEL TOMATE/ALMEJA CLAMATO 1.89L (8)</t>
  </si>
  <si>
    <t>048-025</t>
  </si>
  <si>
    <t>ACHIOTE LIQUIDO BUENO 250ML (20)</t>
  </si>
  <si>
    <t>004-009</t>
  </si>
  <si>
    <t>AGUA QUINADA TONICA PEÑAFIEL 296 ML (12)</t>
  </si>
  <si>
    <t>067-029</t>
  </si>
  <si>
    <t>GARBANZO ALFRESCO 425 GR (24)</t>
  </si>
  <si>
    <t>067-060</t>
  </si>
  <si>
    <t>MAIZ POZOLERO ALFRESCO 822 GR. (12)</t>
  </si>
  <si>
    <t>067-059</t>
  </si>
  <si>
    <t>MAIZ POZOLERO ALFRESCO 425 GR (24)</t>
  </si>
  <si>
    <t>037-123</t>
  </si>
  <si>
    <t>NECTAR MANGO JUMEX 237 ML (24) BRICK</t>
  </si>
  <si>
    <t>067-076</t>
  </si>
  <si>
    <t>MAIZ POZOLERO ALFRESCO 3KG (6)</t>
  </si>
  <si>
    <t>048-014</t>
  </si>
  <si>
    <t>MOLE BUENO 10 KG *TINA*</t>
  </si>
  <si>
    <t>048-012</t>
  </si>
  <si>
    <t>MOLE BUENO ROJO 4 KG *TINA*</t>
  </si>
  <si>
    <t>037-003</t>
  </si>
  <si>
    <t>NECTAR MANZANA JUMEX 24/250ML BOTE</t>
  </si>
  <si>
    <t>037-022</t>
  </si>
  <si>
    <t>NECTAR MANGO JUMEX 24/250ML BOTE</t>
  </si>
  <si>
    <t>037-010</t>
  </si>
  <si>
    <t>NECTAR DURAZNO JUMEX 24/250ML BOTE</t>
  </si>
  <si>
    <t>037-107</t>
  </si>
  <si>
    <t>JUGO NARANJA C/PULPA UNICOFRESCO 960(12)</t>
  </si>
  <si>
    <t>053-008</t>
  </si>
  <si>
    <t>REXAL 150 GR. (50)</t>
  </si>
  <si>
    <t>053-010</t>
  </si>
  <si>
    <t>REXAL 500 GR (24)</t>
  </si>
  <si>
    <t>037-108</t>
  </si>
  <si>
    <t>JUGO ARANDANO UNICOFRESCO 960(12)</t>
  </si>
  <si>
    <t>048-010</t>
  </si>
  <si>
    <t>MOLE BUENO 245 GR. (12)</t>
  </si>
  <si>
    <t>037-109</t>
  </si>
  <si>
    <t>JUGO PIÑA JUMEX 960ML (12) TETRA</t>
  </si>
  <si>
    <t>037-115</t>
  </si>
  <si>
    <t>NECTAR DURAZNO JUMEX 960ML(12) TETRA</t>
  </si>
  <si>
    <t>037-113</t>
  </si>
  <si>
    <t>NECTAR MANGO JUMEX 960ML (12) TETRA</t>
  </si>
  <si>
    <t>037-110</t>
  </si>
  <si>
    <t>JUGO NARANJA JUMEX 960ML (12) TETRA</t>
  </si>
  <si>
    <t>037-114</t>
  </si>
  <si>
    <t>-JUGO UVA JUMEX 960ML (12) TETRA</t>
  </si>
  <si>
    <t>037-111</t>
  </si>
  <si>
    <t>JUGO MANZANA CLARI. JUMEX 960ML(12) TETR</t>
  </si>
  <si>
    <t>037-112</t>
  </si>
  <si>
    <t>JUGO TOMATE JUMEX 960ML(12) TETRA</t>
  </si>
  <si>
    <t>037-119</t>
  </si>
  <si>
    <t>NECTAR MANZANA JUMEX 0 AZUCAR 960ML (12)</t>
  </si>
  <si>
    <t>037-118</t>
  </si>
  <si>
    <t>NECTAR MANGO JUMEX 0 AZUCAR 960ML (6)</t>
  </si>
  <si>
    <t>037-120</t>
  </si>
  <si>
    <t>NECTAR DURAZNO JUMEX 0 AZUCAR 960ML (6)</t>
  </si>
  <si>
    <t>037-127</t>
  </si>
  <si>
    <t>NECTAR DURAZNO JUMEX 237ML (24) BRICK</t>
  </si>
  <si>
    <t>037-125</t>
  </si>
  <si>
    <t>NECTAR MANZANA JUMEX 237ML (24) BRICK</t>
  </si>
  <si>
    <t>040-004</t>
  </si>
  <si>
    <t>LECHE DESLACTOSADA LALA 1L (12)</t>
  </si>
  <si>
    <t>040-017</t>
  </si>
  <si>
    <t>LECHE DESLACTOSADA LIGHT LALA 1L (12)</t>
  </si>
  <si>
    <t>040-005</t>
  </si>
  <si>
    <t>LECHE LIGHT LALA 1L (12)</t>
  </si>
  <si>
    <t>017-005</t>
  </si>
  <si>
    <t>CEREAL CHOCO KRISPIS KELLOGG´S 38G (50)</t>
  </si>
  <si>
    <t>017-027</t>
  </si>
  <si>
    <t>-CEREAL GOLOSINAS KELLOGG´S C/50</t>
  </si>
  <si>
    <t>017-004</t>
  </si>
  <si>
    <t>-CEREAL BRAN FLAKES KELLOGG´S 35G (50)</t>
  </si>
  <si>
    <t>017-045</t>
  </si>
  <si>
    <t>CEREAL ALL BRAN KELLOGG´S ORIGIN 775G(20</t>
  </si>
  <si>
    <t>017-003</t>
  </si>
  <si>
    <t>CEREAL ALL BRAN KELLOGG´S 465G (28)</t>
  </si>
  <si>
    <t>017-008</t>
  </si>
  <si>
    <t>CEREAL CORN FLAKES KELLOGG'S 150G (28)</t>
  </si>
  <si>
    <t>017-076</t>
  </si>
  <si>
    <t>CEREAL CORN FLAKES KELLOGG'S 385 GR (10)</t>
  </si>
  <si>
    <t>017-007</t>
  </si>
  <si>
    <t>CEREAL CORN FLAKES KELLOGG´S 25G (50)</t>
  </si>
  <si>
    <t>017-011</t>
  </si>
  <si>
    <t>CEREAL CORN POPS KELLOGG´S 30G (50)</t>
  </si>
  <si>
    <t>051-005</t>
  </si>
  <si>
    <t>EMPANIZADOR C.FLAKES KELL.350 (36)</t>
  </si>
  <si>
    <t>017-014</t>
  </si>
  <si>
    <t>CEREAL FROOT LOOPS KELLOGG´S 25G (50)</t>
  </si>
  <si>
    <t>017-021</t>
  </si>
  <si>
    <t>CEREAL ZUCARITAS KELLOGG´S 30G (50)</t>
  </si>
  <si>
    <t>017-023</t>
  </si>
  <si>
    <t>CEREAL ZUCARITAS KELLOGG'S 380G (21)</t>
  </si>
  <si>
    <t>016-013</t>
  </si>
  <si>
    <t>SALSA KETCHUP HEINZ C/1008/8G</t>
  </si>
  <si>
    <t>016-018</t>
  </si>
  <si>
    <t>SALSA KETCHUP HEINZ C/192/8G</t>
  </si>
  <si>
    <t>059-001</t>
  </si>
  <si>
    <t>SALSA BARBECUE ABAL 4 LTS (4)</t>
  </si>
  <si>
    <t>026-022</t>
  </si>
  <si>
    <t>MIEL ABEJA HEINZ C/120/20G</t>
  </si>
  <si>
    <t>049-012</t>
  </si>
  <si>
    <t>MOSTAZA HEINZ C/500/5 GR</t>
  </si>
  <si>
    <t>003-045</t>
  </si>
  <si>
    <t>ADEREZO MAYONESA HEINZ PORCION C/200/8G</t>
  </si>
  <si>
    <t>019-003</t>
  </si>
  <si>
    <t>CHILE SECO QUEBRADO HEINZ C/400/1GR*</t>
  </si>
  <si>
    <t>026-015</t>
  </si>
  <si>
    <t>JARABE MIEL MAPLE HEINZ C/72/30G</t>
  </si>
  <si>
    <t>045-023</t>
  </si>
  <si>
    <t>MERMELADA FRESA ABAL/HEINZ C/120/20G</t>
  </si>
  <si>
    <t>049-020</t>
  </si>
  <si>
    <t>MOSTAZA HEINZ C/200/5 GR</t>
  </si>
  <si>
    <t>037-066</t>
  </si>
  <si>
    <t>JUGO 8 VERDURAS HERDEZ 330ML (24)</t>
  </si>
  <si>
    <t>027-056</t>
  </si>
  <si>
    <t>VAINILLA D'GARI 1L (12)</t>
  </si>
  <si>
    <t>034-062</t>
  </si>
  <si>
    <t>CARAMELO D´GARI 1K (12)</t>
  </si>
  <si>
    <t>034-009</t>
  </si>
  <si>
    <t>GELATINA AGUA LIMON D'GARI 720G (10)</t>
  </si>
  <si>
    <t>034-010</t>
  </si>
  <si>
    <t>GELATINA AGUA NARANJA D'GARI 720G(10)</t>
  </si>
  <si>
    <t>034-011</t>
  </si>
  <si>
    <t>GELATINA AGUA PIÑA D'GARI 720G (10)</t>
  </si>
  <si>
    <t>034-012</t>
  </si>
  <si>
    <t>GELATINA AGUA UVA D'GARI 720G (10)</t>
  </si>
  <si>
    <t>034-060</t>
  </si>
  <si>
    <t>GELATINA AGUA DURAZNO D'GARI 720G(10)</t>
  </si>
  <si>
    <t>013-003</t>
  </si>
  <si>
    <t>CAJETA REAL POTOSI 1200G (9)</t>
  </si>
  <si>
    <t>072-004</t>
  </si>
  <si>
    <t>PASTILLA SANITARIA FLASH B.MARINA 72G(50</t>
  </si>
  <si>
    <t>072-003</t>
  </si>
  <si>
    <t>PASTILLA SANITARIA FLASH LAVANDA 72G(50)</t>
  </si>
  <si>
    <t>123-001</t>
  </si>
  <si>
    <t>MANTEQUILLA LALA SOLIDA ENTERA 90GR (4)</t>
  </si>
  <si>
    <t>027-156</t>
  </si>
  <si>
    <t>ABLANDADOR DE CARNE PRAGNA 1320G (12)</t>
  </si>
  <si>
    <t>024-006</t>
  </si>
  <si>
    <t>CREMA COFFE MATE C/200/4G (6) PORCION</t>
  </si>
  <si>
    <t>026-016</t>
  </si>
  <si>
    <t>SPLENDA C/700 SOBRES</t>
  </si>
  <si>
    <t>012-016</t>
  </si>
  <si>
    <t>CAFE CLASICO NESCAFE 200 G (12)</t>
  </si>
  <si>
    <t>024-002</t>
  </si>
  <si>
    <t>CREMA COFFE MATE 311 G(12)</t>
  </si>
  <si>
    <t>060-066</t>
  </si>
  <si>
    <t>SALSA INGLESA FRENCHS 3.78L (4)</t>
  </si>
  <si>
    <t>012-017</t>
  </si>
  <si>
    <t>CAFE CLASICO NESCAFE 1 KG (4)</t>
  </si>
  <si>
    <t>016-020</t>
  </si>
  <si>
    <t>SALSA KETCHUP HEINZ POUCH 3K (6)</t>
  </si>
  <si>
    <t>039-002</t>
  </si>
  <si>
    <t>LECHE CLAVEL 360 ML (48)</t>
  </si>
  <si>
    <t>039-010</t>
  </si>
  <si>
    <t>-LECHE CARNETION 360 ML (48) B9</t>
  </si>
  <si>
    <t>012-003</t>
  </si>
  <si>
    <t>CAFE DECAF 170G (12)</t>
  </si>
  <si>
    <t>024-003</t>
  </si>
  <si>
    <t>CREMA COFFE MATE 400G (12)</t>
  </si>
  <si>
    <t>012-014</t>
  </si>
  <si>
    <t>CAFE CLASICO NESCAFE 60G (12)</t>
  </si>
  <si>
    <t>012-015</t>
  </si>
  <si>
    <t>CAFE CLASICO NESCAFE 120G (12)</t>
  </si>
  <si>
    <t>012-002</t>
  </si>
  <si>
    <t>CAFE DECAF 120G (12)</t>
  </si>
  <si>
    <t>012-001</t>
  </si>
  <si>
    <t>CAFE DECAF 40G (12)</t>
  </si>
  <si>
    <t>012-035</t>
  </si>
  <si>
    <t>CAFE CLASICO NESCAFE 42G (16)</t>
  </si>
  <si>
    <t>023-009</t>
  </si>
  <si>
    <t>-CONSOMATE C/8 CUBOS (24)</t>
  </si>
  <si>
    <t>023-008</t>
  </si>
  <si>
    <t>-CONSOMATE C/24 PZA (12) TIRA</t>
  </si>
  <si>
    <t>028-001</t>
  </si>
  <si>
    <t>-LECHE NAN NO.1 320G (12)</t>
  </si>
  <si>
    <t>028-003</t>
  </si>
  <si>
    <t>-LECHE NAN NO.2 320G (12)</t>
  </si>
  <si>
    <t>026-040</t>
  </si>
  <si>
    <t>SPLENDA C/2000/1G</t>
  </si>
  <si>
    <t>042-004</t>
  </si>
  <si>
    <t>DULCE DE LECHE EL MANJAR NESTLE 4.5K (4)</t>
  </si>
  <si>
    <t>025-011</t>
  </si>
  <si>
    <t>MEDIA CREMA NESTLE 1L (12)</t>
  </si>
  <si>
    <t>026-034</t>
  </si>
  <si>
    <t>SPLENDA NATURALS CON STEVIA C/400/1G</t>
  </si>
  <si>
    <t>025-012</t>
  </si>
  <si>
    <t>MEDIA CREMA NESTLE 225G (24)</t>
  </si>
  <si>
    <t>063-001</t>
  </si>
  <si>
    <t>JUGO MAGGI 100 ML (24)</t>
  </si>
  <si>
    <t>061-011</t>
  </si>
  <si>
    <t>SALSA INGLESA C/B 145 ML (24)</t>
  </si>
  <si>
    <t>060-016</t>
  </si>
  <si>
    <t>SALSA INGLESA CROSSE &amp; BLACWELL 1.9L (4)</t>
  </si>
  <si>
    <t>063-003</t>
  </si>
  <si>
    <t>JUGO MAGGI 800 ML (6)</t>
  </si>
  <si>
    <t>063-005</t>
  </si>
  <si>
    <t>JUGO SAZONADOR MAGGI 1.9LTS (4)</t>
  </si>
  <si>
    <t>038-004</t>
  </si>
  <si>
    <t>LECHE LA LECHERA GRANDE 375 GR (48)</t>
  </si>
  <si>
    <t>042-003</t>
  </si>
  <si>
    <t>DULCE DE LECHE LA LECHERA 360G (24)</t>
  </si>
  <si>
    <t>039-003</t>
  </si>
  <si>
    <t>LECHE CLAVEL 1 KG (12)</t>
  </si>
  <si>
    <t>039-009</t>
  </si>
  <si>
    <t>- LECHE CLAVEL 1 KG (12) ***</t>
  </si>
  <si>
    <t>061-003</t>
  </si>
  <si>
    <t>SALSA TABASCO 60 ML. (24)</t>
  </si>
  <si>
    <t>060-015</t>
  </si>
  <si>
    <t>SALSA INGLESA C/B 980 ML (6)</t>
  </si>
  <si>
    <t>037-129</t>
  </si>
  <si>
    <t>#JUGO MANZANA BIDA 500ML (12)</t>
  </si>
  <si>
    <t>027-154</t>
  </si>
  <si>
    <t>CANELA MOLIDA MC 220G (6)</t>
  </si>
  <si>
    <t>016-015</t>
  </si>
  <si>
    <t>SALSA KETCHUP HEINZ 397G 14OZ (16)</t>
  </si>
  <si>
    <t>016-029</t>
  </si>
  <si>
    <t>#SALSA KETCHUP HEINZ 397G 14OZ (16)</t>
  </si>
  <si>
    <t>063-037</t>
  </si>
  <si>
    <t>-MEZCLADOR MICHE MAGGI 1.9 LTS (4)</t>
  </si>
  <si>
    <t>016-017</t>
  </si>
  <si>
    <t>SALSA KETCHUP HEINZ 40 OZ 1.13K (12)</t>
  </si>
  <si>
    <t>016-030</t>
  </si>
  <si>
    <t>#SALSA KETCHUP HEINZ 40 OZ 1.13K (12)</t>
  </si>
  <si>
    <t>016-016</t>
  </si>
  <si>
    <t>SALSA KETCHUP RED HEINZ 397G 14OZ (16)</t>
  </si>
  <si>
    <t>012-064</t>
  </si>
  <si>
    <t>NESCAFE FRAPPE N1 MX  1.5 KG (6)</t>
  </si>
  <si>
    <t>044-056</t>
  </si>
  <si>
    <t>MAYONESA ROYAL HEINZ C/500/8G PORCION</t>
  </si>
  <si>
    <t>063-049</t>
  </si>
  <si>
    <t>- SALSA S. MAGGI 1.9L+A. VERDE VALE 1KG</t>
  </si>
  <si>
    <t>013-002</t>
  </si>
  <si>
    <t>CAJETA CORONADO 594 GR (12)</t>
  </si>
  <si>
    <t>061-019</t>
  </si>
  <si>
    <t>SALSA TABASCO 355 ML. (12)</t>
  </si>
  <si>
    <t>044-034</t>
  </si>
  <si>
    <t>MAYONESA HEINZ 390G (24)</t>
  </si>
  <si>
    <t>023-006</t>
  </si>
  <si>
    <t>CONDIMIX POLLO 3.6K (6)</t>
  </si>
  <si>
    <t>049-007</t>
  </si>
  <si>
    <t>MOSTAZA HELLMANS 3.78 KG (4)</t>
  </si>
  <si>
    <t>049-023</t>
  </si>
  <si>
    <t>%MOSTAZA HELLMANS 3.8 KG (4)</t>
  </si>
  <si>
    <t>049-015</t>
  </si>
  <si>
    <t>MOSTAZA HEINZ 368GR 13oz (16)</t>
  </si>
  <si>
    <t>049-016</t>
  </si>
  <si>
    <t>-MOSTAZA HEINZ POUCH 3KG (4)</t>
  </si>
  <si>
    <t>057-003</t>
  </si>
  <si>
    <t>QUESO PARMESANO KRAFT 2.04KG(4)</t>
  </si>
  <si>
    <t>061-021</t>
  </si>
  <si>
    <t>SALSA A1 STEAK SAUSE 5oz.  142G (24)</t>
  </si>
  <si>
    <t>061-012</t>
  </si>
  <si>
    <t>SALSA A1 STEAK HOUSE 10 oz.  283 ML (12)</t>
  </si>
  <si>
    <t>030-020</t>
  </si>
  <si>
    <t>FRIJOL PERUANO VERDE VALLE 900G (20)</t>
  </si>
  <si>
    <t>040-001</t>
  </si>
  <si>
    <t>PRODUCTO LACTEO NUTRI LECHE LALA  1L(12)</t>
  </si>
  <si>
    <t>006-047</t>
  </si>
  <si>
    <t>ARROZ INTEGRAL VERDE VALLE 900G (20)</t>
  </si>
  <si>
    <t>048-002</t>
  </si>
  <si>
    <t>MOLE DOÑA MARIA 235 GR. (24)</t>
  </si>
  <si>
    <t>085-050</t>
  </si>
  <si>
    <t>PINOL 828ML+2PINOL AROMA 500ML(12)B9</t>
  </si>
  <si>
    <t>013-007</t>
  </si>
  <si>
    <t>CAJETA REAL POTOSI 5K TINA</t>
  </si>
  <si>
    <t>074-012</t>
  </si>
  <si>
    <t>EFICAZ LIMON 750ML(12)</t>
  </si>
  <si>
    <t>052-112</t>
  </si>
  <si>
    <t>PASTA YEMINA CODO LISO 4KG (3)</t>
  </si>
  <si>
    <t>048-003</t>
  </si>
  <si>
    <t>MOLE DOÑA MARIA VERDE 230 GR (24)</t>
  </si>
  <si>
    <t>048-005</t>
  </si>
  <si>
    <t>MOLE DOÑA MARIA 430 GR. (12)</t>
  </si>
  <si>
    <t>033-105</t>
  </si>
  <si>
    <t>-BARRA AVENA/MIEL NAT VALLEY 210G/10 (12</t>
  </si>
  <si>
    <t>052-113</t>
  </si>
  <si>
    <t>PASTA FUSILLI BARILLA 1KG (8)</t>
  </si>
  <si>
    <t>085-052</t>
  </si>
  <si>
    <t>PINOL LAVANDA 828ML 10 +2 (12)B9</t>
  </si>
  <si>
    <t>12+2</t>
  </si>
  <si>
    <t>076-004</t>
  </si>
  <si>
    <t>-ACIDO MURIATEX ALAMO 420 ML. (24)</t>
  </si>
  <si>
    <t>076-005</t>
  </si>
  <si>
    <t>-ACIDO MURIATEX ALAMO 750 ML (15)</t>
  </si>
  <si>
    <t>076-006</t>
  </si>
  <si>
    <t>-POTASA ALAMO 230 GR (12)</t>
  </si>
  <si>
    <t>035-046</t>
  </si>
  <si>
    <t>HARINA P/PASTEL CHOCO FUDGE BETTY C.375G</t>
  </si>
  <si>
    <t>035-043</t>
  </si>
  <si>
    <t>HARINA P/PASTEL CHOC.DEVIL BETTY C.375GR</t>
  </si>
  <si>
    <t>035-044</t>
  </si>
  <si>
    <t>HARINA P/PASTEL CHOC/REDVELVET BETTY 375</t>
  </si>
  <si>
    <t>035-045</t>
  </si>
  <si>
    <t>HARINA P/PASTEL VAINILLA FRAN.BETTY 375G</t>
  </si>
  <si>
    <t>035-042</t>
  </si>
  <si>
    <t>HARINA P/PASTEL VAINILLA GOLDEN BETTY</t>
  </si>
  <si>
    <t>035-047</t>
  </si>
  <si>
    <t>-HARINA P/PASTEL AMARILLO BETTY 375G(12)</t>
  </si>
  <si>
    <t>035-048</t>
  </si>
  <si>
    <t>HARINA P/BROWNIES FUDGE BETTY C. 462GR</t>
  </si>
  <si>
    <t>044-058</t>
  </si>
  <si>
    <t>AD.MAY CON CHIPOTLE MC 310G (12)</t>
  </si>
  <si>
    <t>013-006</t>
  </si>
  <si>
    <t>CAJETA REAL POTOSI 660G (12) SQUEEZE</t>
  </si>
  <si>
    <t>056-006</t>
  </si>
  <si>
    <t>PURE TOMATE FUERTE COND. BRICK 1 KG (12)</t>
  </si>
  <si>
    <t>056-021</t>
  </si>
  <si>
    <t>PURE TOMATE FUERTE NATURAL 1KG TETR (12)</t>
  </si>
  <si>
    <t>056-007</t>
  </si>
  <si>
    <t>-PURE TOMATE FUERTE COND.2.9KG *BOLSA*(6</t>
  </si>
  <si>
    <t>056-008</t>
  </si>
  <si>
    <t>PURE TOMATE FUERTE NATURAL 2.9K BOLSA(6)</t>
  </si>
  <si>
    <t>001-085</t>
  </si>
  <si>
    <t>ACEITE NUTRIOLI 800 ML (12)</t>
  </si>
  <si>
    <t>059-018</t>
  </si>
  <si>
    <t>SALSA P/PIZZA DEL FUERTE 3 KG (6)</t>
  </si>
  <si>
    <t>056-011</t>
  </si>
  <si>
    <t>PASTA TOMATE FUERTE *BOLSA* 3 KG (4)</t>
  </si>
  <si>
    <t>010-015</t>
  </si>
  <si>
    <t>COCTEL TOMATE/ALMEJA KERMATO 1.80L(8)FR</t>
  </si>
  <si>
    <t>010-014</t>
  </si>
  <si>
    <t>COCTEL TOMATE/ALMEJA KERMATO 950ML(12)</t>
  </si>
  <si>
    <t>013-005</t>
  </si>
  <si>
    <t>CAJETA REAL POTOSI 640G (12)</t>
  </si>
  <si>
    <t>061-043</t>
  </si>
  <si>
    <t>SALSA DE LA VIUDA PICANTE 150ML (12)</t>
  </si>
  <si>
    <t>035-055</t>
  </si>
  <si>
    <t>-HARINA HOT CAKES BETTY C. 700 GR (10)</t>
  </si>
  <si>
    <t>006-053</t>
  </si>
  <si>
    <t>ARROZ NILO 500 GR (10)</t>
  </si>
  <si>
    <t>006-059</t>
  </si>
  <si>
    <t>ARROZ SUPER EXTRA NILO 906 GR (10)</t>
  </si>
  <si>
    <t>018-004</t>
  </si>
  <si>
    <t>CHILE JALAPEÑO COSTEÑA 2.8K (6)</t>
  </si>
  <si>
    <t>018-009</t>
  </si>
  <si>
    <t>CHILE RAJAS COSTEÑA 2.8K (6)</t>
  </si>
  <si>
    <t>018-026</t>
  </si>
  <si>
    <t>CHILE CHIPOTLE ADOBADO COSTEÑA 2.8K (6)</t>
  </si>
  <si>
    <t>018-062</t>
  </si>
  <si>
    <t>C. CHIPOTLE ADOBADO S.MIGUEL 2.85K PCH 6</t>
  </si>
  <si>
    <t>056-020</t>
  </si>
  <si>
    <t>PURE DE TOMATE COSTEÑA LATA 2.95 KG (6)</t>
  </si>
  <si>
    <t>029-011</t>
  </si>
  <si>
    <t>FRIJOLES BAYOS REFRITOS SIERRA 580G (12)</t>
  </si>
  <si>
    <t>018-012</t>
  </si>
  <si>
    <t>CHILE NACHOS COSTEÑA 2.8K (6)</t>
  </si>
  <si>
    <t>034-004</t>
  </si>
  <si>
    <t>GELATINA AGUA PIÑA CARTED'OR 600G (12)</t>
  </si>
  <si>
    <t>034-002</t>
  </si>
  <si>
    <t>GELATINA AGUA LIMON CARTED'OR 600G (12)</t>
  </si>
  <si>
    <t>034-104</t>
  </si>
  <si>
    <t>%GELATINA AGUA LIMON CARTED'OR 600G (12)</t>
  </si>
  <si>
    <t>034-007</t>
  </si>
  <si>
    <t>GELATINA LECHE VAINILLA CARTED'OR 600(12</t>
  </si>
  <si>
    <t>034-108</t>
  </si>
  <si>
    <t>%GELATINA LECHE VAINILLA CARTED'OR 600(1</t>
  </si>
  <si>
    <t>034-001</t>
  </si>
  <si>
    <t>GELATINA AGUA FRESA CARTED'OR 600G(12</t>
  </si>
  <si>
    <t>034-103</t>
  </si>
  <si>
    <t>%GELATINA AGUA FRESA CARTED'OR 600G(12</t>
  </si>
  <si>
    <t>034-003</t>
  </si>
  <si>
    <t>GELATINA AGUA NARANJA CARTED'OR 600G(12)</t>
  </si>
  <si>
    <t>034-005</t>
  </si>
  <si>
    <t>GELATINA AGUA UVA CARTED'OR 600G (12)</t>
  </si>
  <si>
    <t>068-007</t>
  </si>
  <si>
    <t>VINAGRE DE CAÑA COSTEÑA 3.75LT (4)</t>
  </si>
  <si>
    <t>034-006</t>
  </si>
  <si>
    <t>FLAN VAINILLA CARTED'OR 700G (12)</t>
  </si>
  <si>
    <t>034-102</t>
  </si>
  <si>
    <t>%FLAN VAINILLA CARTED'OR 700G (12)</t>
  </si>
  <si>
    <t>087-098</t>
  </si>
  <si>
    <t>PELICULA PVC REYNOLDS C/CORT 600M X 45CM</t>
  </si>
  <si>
    <t>029-019</t>
  </si>
  <si>
    <t>FRIJOLES CLAROS MOLIDOS SIERRA 440G (24)</t>
  </si>
  <si>
    <t>076-003</t>
  </si>
  <si>
    <t>ACIDO EL SULTAN 900 ML (15)</t>
  </si>
  <si>
    <t>001-031</t>
  </si>
  <si>
    <t>ACEITE OLIVA E.V CARBONELL 750ML (6)</t>
  </si>
  <si>
    <t>001-029</t>
  </si>
  <si>
    <t>ACEITE OLIVA E.V CARBONELL 250ML (12)</t>
  </si>
  <si>
    <t>067-039</t>
  </si>
  <si>
    <t>CHAMPINON REBANADO HERDEZ 2800 GR (6)</t>
  </si>
  <si>
    <t>067-036</t>
  </si>
  <si>
    <t>CHAMPINON REBA. HERDEZ 186GR (24)</t>
  </si>
  <si>
    <t>067-037</t>
  </si>
  <si>
    <t>CHAMPINON REBAN. HERDEZ 380 GR *(24)</t>
  </si>
  <si>
    <t>067-038</t>
  </si>
  <si>
    <t>CHAMPINON REBANADO HERDEZ 800GR (12)</t>
  </si>
  <si>
    <t>032-009</t>
  </si>
  <si>
    <t>DURAZNO MITAD COSTEÑA 3K (6)</t>
  </si>
  <si>
    <t>124-004</t>
  </si>
  <si>
    <t>FLAN LALA VAINILLA  100 GR (8)</t>
  </si>
  <si>
    <t>067-008</t>
  </si>
  <si>
    <t>CHICHARO HERDEZ 2.9 KG (6)</t>
  </si>
  <si>
    <t>067-007</t>
  </si>
  <si>
    <t>CHICHARO HERDEZ 400 GR (24)</t>
  </si>
  <si>
    <t>067-012</t>
  </si>
  <si>
    <t>CHICHARO C/ZANAHORIA HERDEZ 400 *(24</t>
  </si>
  <si>
    <t>067-018</t>
  </si>
  <si>
    <t>ELOTE EN GRANO HERDEZ 2.9KG (6)</t>
  </si>
  <si>
    <t>067-017</t>
  </si>
  <si>
    <t>ELOTE GRANO HERDEZ 400 GR (24)</t>
  </si>
  <si>
    <t>067-031</t>
  </si>
  <si>
    <t>GARBANZOS HERDEZ 400 GR (24)</t>
  </si>
  <si>
    <t>067-124</t>
  </si>
  <si>
    <t>ELOTE GRANO BLANCO HDEZ 220GR (24)</t>
  </si>
  <si>
    <t>040-002</t>
  </si>
  <si>
    <t>LECHE ULTRA PREMIUM ENTERA LALA 1L (12)</t>
  </si>
  <si>
    <t>029-027</t>
  </si>
  <si>
    <t>FRIJOLES ENTERO BAYOS SIERRA 560G (12)</t>
  </si>
  <si>
    <t>060-031</t>
  </si>
  <si>
    <t>-SALSA VERDE DEL PRIMO 300 GR (24)B9</t>
  </si>
  <si>
    <t>060-088</t>
  </si>
  <si>
    <t>SALSA HABANERA ROJAMPRIMO 300 GR (24)B9</t>
  </si>
  <si>
    <t>060-087</t>
  </si>
  <si>
    <t>SALSA HABANERA VERDE PRIMO 300 GR (24)B9</t>
  </si>
  <si>
    <t>052-041</t>
  </si>
  <si>
    <t>PASTA TORNILLO/FUSILLI BARILLA 500G (12)</t>
  </si>
  <si>
    <t>006-048</t>
  </si>
  <si>
    <t>ARROZ IMPEGABLE VERDE VALLE 750G (22)</t>
  </si>
  <si>
    <t>060-025</t>
  </si>
  <si>
    <t>SALSA ROJA DEL PRIMO 300 GR (24)B9</t>
  </si>
  <si>
    <t>060-085</t>
  </si>
  <si>
    <t>SALSA TLAQUERA PRIMO 300 GR (24)B9</t>
  </si>
  <si>
    <t>001-023</t>
  </si>
  <si>
    <t>ACEITE OLIVA CARBONELL 500ML (12) VIDRIO</t>
  </si>
  <si>
    <t>001-030</t>
  </si>
  <si>
    <t>ACEITE OLIVA E.V CARBONELL 500M(12VIDRIO</t>
  </si>
  <si>
    <t>060-012</t>
  </si>
  <si>
    <t>SALSA HERDEZ CASERA ROJA 210 GR (48)</t>
  </si>
  <si>
    <t>001-028</t>
  </si>
  <si>
    <t>ACEITE OLIVA PURO CARBONELL 5L (3) PET</t>
  </si>
  <si>
    <t>060-013</t>
  </si>
  <si>
    <t>SALSA HERDEZ VERDE 210 GR (48)</t>
  </si>
  <si>
    <t>014-080</t>
  </si>
  <si>
    <t>-REFRESCO DE SABOR 600 ML PET</t>
  </si>
  <si>
    <t>001-045</t>
  </si>
  <si>
    <t>ACEITE OLIVA E.V CARBONELL 2L (6) PET</t>
  </si>
  <si>
    <t>001-025</t>
  </si>
  <si>
    <t>ACEITE OLIVA CARBONELL 950 ML (12) LATA</t>
  </si>
  <si>
    <t>001-074</t>
  </si>
  <si>
    <t>ACEITE CANOLA + OLIVA CARBONELL 850M(12)</t>
  </si>
  <si>
    <t>001-024</t>
  </si>
  <si>
    <t>ACEITE OLIVA CARBONELL 450 ML (12) LATA</t>
  </si>
  <si>
    <t>056-013</t>
  </si>
  <si>
    <t>PASTA TOMATE BOLSA COSTEÑA 3K * (4)</t>
  </si>
  <si>
    <t>018-020</t>
  </si>
  <si>
    <t>CHILE JALAPEÑO ENTERO HERDEZ 2.7K (6)</t>
  </si>
  <si>
    <t>056-017</t>
  </si>
  <si>
    <t>PURE DE TOMATE COSTEÑA BOLSA 3KG (4)</t>
  </si>
  <si>
    <t>006-019</t>
  </si>
  <si>
    <t>ARROZ VERDE VALLE 1K (10)</t>
  </si>
  <si>
    <t>033-118</t>
  </si>
  <si>
    <t>GALLETAS SALADAS TRES ESTRELLAS 200/12G</t>
  </si>
  <si>
    <t>033-031</t>
  </si>
  <si>
    <t>-GALLETAS HABANERA INTEG GAMESA 468 (12)</t>
  </si>
  <si>
    <t>009-001</t>
  </si>
  <si>
    <t>AVENA CON CEREAL 3 MIN. 380G BOLSA  (36)</t>
  </si>
  <si>
    <t>033-048</t>
  </si>
  <si>
    <t>-GALLETAS SALADAS GAMESA 22/140G</t>
  </si>
  <si>
    <t>033-035</t>
  </si>
  <si>
    <t>GALLETAS MARIAS GAMESA 20/177G</t>
  </si>
  <si>
    <t>033-003</t>
  </si>
  <si>
    <t>GALLETAS ARCOIRIS GAMESA 670G (10)</t>
  </si>
  <si>
    <t>033-046</t>
  </si>
  <si>
    <t>GALLETAS SALADAS GAMESA 200/12G</t>
  </si>
  <si>
    <t>033-049</t>
  </si>
  <si>
    <t>-GALLETAS SALADAS 504 GR C/42 (12)</t>
  </si>
  <si>
    <t>033-036</t>
  </si>
  <si>
    <t>GALLETAS MARIAS GAMESA  850G (12)</t>
  </si>
  <si>
    <t>033-051</t>
  </si>
  <si>
    <t>GALLETAS SALADAS GAMESA 1.232K</t>
  </si>
  <si>
    <t>064-023</t>
  </si>
  <si>
    <t>GRANOLA 3 MINUTOS 370 GR (14)</t>
  </si>
  <si>
    <t>009-004</t>
  </si>
  <si>
    <t>AVENA QUAKER 475G (12)</t>
  </si>
  <si>
    <t>009-002</t>
  </si>
  <si>
    <t>AVENA CON CEREAL 3 MIN. 400G BOTE (36)</t>
  </si>
  <si>
    <t>033-018</t>
  </si>
  <si>
    <t>GALLETAS EMPERADOR COMBINADO 382G (12)</t>
  </si>
  <si>
    <t>033-015</t>
  </si>
  <si>
    <t>-GALLETAS EMPERADOR CHOCOLATE 16/91G</t>
  </si>
  <si>
    <t>033-019</t>
  </si>
  <si>
    <t>-GALLETAS EMPERADOR NUEZ 16/91G</t>
  </si>
  <si>
    <t>033-016</t>
  </si>
  <si>
    <t>GALLETAS CHOCOLATE EMPERADOR 424G (12)</t>
  </si>
  <si>
    <t>033-053</t>
  </si>
  <si>
    <t>GALLETAS SURTIDO RICO GAMESA 424 GR(12)</t>
  </si>
  <si>
    <t>035-050</t>
  </si>
  <si>
    <t>HARINA HOT CAKES GAMESA 800G (10)</t>
  </si>
  <si>
    <t>033-034</t>
  </si>
  <si>
    <t>GALLETAS MARAVILLAS GAMESA 504G (12)</t>
  </si>
  <si>
    <t>033-006</t>
  </si>
  <si>
    <t>GALLETAS BARRA DE COCO GAMESA 490G(8)</t>
  </si>
  <si>
    <t>025-016</t>
  </si>
  <si>
    <t>CREMA CACAHUATE ALADINO 340G (12)</t>
  </si>
  <si>
    <t>001-006</t>
  </si>
  <si>
    <t>ACEITE CAPULLO 3.7L (4)</t>
  </si>
  <si>
    <t>043-003</t>
  </si>
  <si>
    <t>MANTECA INCA 1K (12)</t>
  </si>
  <si>
    <t>043-004</t>
  </si>
  <si>
    <t>MANTECA INCA 24K CUÑETE</t>
  </si>
  <si>
    <t>043-001</t>
  </si>
  <si>
    <t>MANTECA INCA 250G (48)</t>
  </si>
  <si>
    <t>043-002</t>
  </si>
  <si>
    <t>MANTECA INCA 500G (24)</t>
  </si>
  <si>
    <t>046-003</t>
  </si>
  <si>
    <t>MIEL KARO MAPLE 3.6 LTS (4)</t>
  </si>
  <si>
    <t>046-002</t>
  </si>
  <si>
    <t>MIEL KARO MAPLE 510 ML (12)*</t>
  </si>
  <si>
    <t>046-001</t>
  </si>
  <si>
    <t>MIEL KARO MAPLE 255 ML (24)*</t>
  </si>
  <si>
    <t>046-009</t>
  </si>
  <si>
    <t>MIEL KARO BEBE/CRISTAL 500 ML(12)</t>
  </si>
  <si>
    <t>046-005</t>
  </si>
  <si>
    <t>MIEL KARO VAINILLA 510 ML (12)</t>
  </si>
  <si>
    <t>045-015</t>
  </si>
  <si>
    <t>MERMELADA FRESA SMUCKERS 510G (12)</t>
  </si>
  <si>
    <t>045-012</t>
  </si>
  <si>
    <t>MERMELADA FRESA SMUCKERS S/A 365G (8)</t>
  </si>
  <si>
    <t>066-016</t>
  </si>
  <si>
    <t>TE TWININGS DESAYUNO INGLES /25/2GR (12)</t>
  </si>
  <si>
    <t>085-026</t>
  </si>
  <si>
    <t>PINOL 500 ML. MEDIANO (20)</t>
  </si>
  <si>
    <t>001-080</t>
  </si>
  <si>
    <t>ACEITE CAPULLO 755ML (12)</t>
  </si>
  <si>
    <t>085-028</t>
  </si>
  <si>
    <t>PINOL 1 LTO  GRANDE (15)</t>
  </si>
  <si>
    <t>085-029</t>
  </si>
  <si>
    <t>PINOL 2 LTS GIGANTE (8)</t>
  </si>
  <si>
    <t>085-030</t>
  </si>
  <si>
    <t>PINOL 3.785 LTS  FAMILIAR (6)</t>
  </si>
  <si>
    <t>029-025</t>
  </si>
  <si>
    <t>FRIJOLES PERUANOS REFRIT ISADORA 430G(24</t>
  </si>
  <si>
    <t>018-011</t>
  </si>
  <si>
    <t>CHILE NACHOS COSTEÑA 800G (12)</t>
  </si>
  <si>
    <t>029-023</t>
  </si>
  <si>
    <t>FRIJOLES BAYOS REFRITOS ISADORA 430G(24)</t>
  </si>
  <si>
    <t>025-014</t>
  </si>
  <si>
    <t>ADEREZO VINAGRE BALSAMICO CARBONELL 275G</t>
  </si>
  <si>
    <t>068-012</t>
  </si>
  <si>
    <t>VINAGRE VINO TINTO CARBONELL 250ML (6)</t>
  </si>
  <si>
    <t>068-013</t>
  </si>
  <si>
    <t>VINAGRE BALSAMICO CARBONELL 250ML (6)</t>
  </si>
  <si>
    <t>068-011</t>
  </si>
  <si>
    <t>VINAGRE VINO BLANCO CARBONELL 250ML (6)</t>
  </si>
  <si>
    <t>068-010</t>
  </si>
  <si>
    <t>VINAGRE JEREZ CARBONELL 250 ML (6)</t>
  </si>
  <si>
    <t>032-008</t>
  </si>
  <si>
    <t>DURAZNO MITAD COSTEÑA 820G (12)</t>
  </si>
  <si>
    <t>032-023</t>
  </si>
  <si>
    <t>PIÑA REBANADA COSTEÑA 820G (12)</t>
  </si>
  <si>
    <t>032-017</t>
  </si>
  <si>
    <t>MANGO REBANADO COSTEÑA 820G (12)</t>
  </si>
  <si>
    <t>032-006</t>
  </si>
  <si>
    <t>COCTEL DE FRUTAS COSTEÑA 850G (12)</t>
  </si>
  <si>
    <t>032-001</t>
  </si>
  <si>
    <t>ATE GUAYABA COSTEÑA 700G (12)</t>
  </si>
  <si>
    <t>032-002</t>
  </si>
  <si>
    <t>ATE MEMBRILLO COSTEÑA 700G (12)</t>
  </si>
  <si>
    <t>085-048</t>
  </si>
  <si>
    <t>-PINOL 9 LTS ORIGINAL</t>
  </si>
  <si>
    <t>060-086</t>
  </si>
  <si>
    <t>SALSAGUACAMOLE PRIMO 300 GR (24)B9</t>
  </si>
  <si>
    <t>032-020</t>
  </si>
  <si>
    <t>PERAS MITAD COSTEÑA 820G (12)</t>
  </si>
  <si>
    <t>085-027</t>
  </si>
  <si>
    <t>PINOL 828 ML ECONOMICO (15)</t>
  </si>
  <si>
    <t>059-007</t>
  </si>
  <si>
    <t>SALSA KNORR DEMIGLACE 4 KG. CUBETA (2)</t>
  </si>
  <si>
    <t>059-069</t>
  </si>
  <si>
    <t>%SALSA DEMIGLACE 4 KG. CUBETA (2)</t>
  </si>
  <si>
    <t>059-004</t>
  </si>
  <si>
    <t>SALSA BECHAMEL KNORR 4 KG. (2)</t>
  </si>
  <si>
    <t>059-070</t>
  </si>
  <si>
    <t>%SALSA BECHAMEL KNORR 4 KG. (2)</t>
  </si>
  <si>
    <t>032-014</t>
  </si>
  <si>
    <t>GUAYABA ENTERA COSTEÑA 820G (12)</t>
  </si>
  <si>
    <t>049-002</t>
  </si>
  <si>
    <t>MOSTAZA MC 210 GR. (24)</t>
  </si>
  <si>
    <t>049-005</t>
  </si>
  <si>
    <t>MOSTAZA MC 430 GR (12)</t>
  </si>
  <si>
    <t>003-001</t>
  </si>
  <si>
    <t>ADEREZO HELLMANN'S 3.98 KG (4)</t>
  </si>
  <si>
    <t>049-006</t>
  </si>
  <si>
    <t>MOSTAZA MC.CORMIC 3.85 KG (4)</t>
  </si>
  <si>
    <t>045-009</t>
  </si>
  <si>
    <t>MERMELADA FRESA MC 450G (12)</t>
  </si>
  <si>
    <t>045-041</t>
  </si>
  <si>
    <t>#MERMELADA FRESA MC 450G (12)</t>
  </si>
  <si>
    <t>045-042</t>
  </si>
  <si>
    <t>#MERMELADA PIÑA MC 450G (12)</t>
  </si>
  <si>
    <t>045-025</t>
  </si>
  <si>
    <t>MERMELADA FRESA MC 270G (24)</t>
  </si>
  <si>
    <t>045-024</t>
  </si>
  <si>
    <t>MERMELADA FRESA MC 980G (12)</t>
  </si>
  <si>
    <t>018-003</t>
  </si>
  <si>
    <t>CHILE JALAPEÑO COSTEÑA 780G (12)</t>
  </si>
  <si>
    <t>018-008</t>
  </si>
  <si>
    <t>CHILE RAJAS COSTEÑA 800G (12)</t>
  </si>
  <si>
    <t>027-019</t>
  </si>
  <si>
    <t>CURRY POLVO MC 51G (12)</t>
  </si>
  <si>
    <t>027-071</t>
  </si>
  <si>
    <t>AJO EN POLVO MC 77G (12)</t>
  </si>
  <si>
    <t>027-077</t>
  </si>
  <si>
    <t>CEBOLLA EN POLVO MC 70G(12)</t>
  </si>
  <si>
    <t>027-069</t>
  </si>
  <si>
    <t>NUEZ MOSCADA MC 60G (12)</t>
  </si>
  <si>
    <t>027-035</t>
  </si>
  <si>
    <t>PIMIENTA CON LIMON MC 75G (12)</t>
  </si>
  <si>
    <t>027-046</t>
  </si>
  <si>
    <t>SAL CON APIO MC 104G (12)</t>
  </si>
  <si>
    <t>027-010</t>
  </si>
  <si>
    <t>CANELA MOLIDA MC 63G (12)</t>
  </si>
  <si>
    <t>069-019</t>
  </si>
  <si>
    <t>-ALUBIA CHICA VERDE VALLE 500GR (20)</t>
  </si>
  <si>
    <t>066-010</t>
  </si>
  <si>
    <t>TE NEGRO MC C/25 PZA (24)</t>
  </si>
  <si>
    <t>066-009</t>
  </si>
  <si>
    <t>TE MANZANILLA MC. PTE. C/100 PZA (10)</t>
  </si>
  <si>
    <t>066-008</t>
  </si>
  <si>
    <t>TE MANZANILLA MC C/25 PZA (24)</t>
  </si>
  <si>
    <t>066-018</t>
  </si>
  <si>
    <t>TE MANZANILLA MC C/50 PZS(24)</t>
  </si>
  <si>
    <t>066-004</t>
  </si>
  <si>
    <t>TE CANELA/MANZANA MC C/25 PZA (24)</t>
  </si>
  <si>
    <t>066-012</t>
  </si>
  <si>
    <t>TE VERDE MC.CORMIC C/25 PZS (24)</t>
  </si>
  <si>
    <t>058-004</t>
  </si>
  <si>
    <t>SAL LA FINA 1 KG (20)</t>
  </si>
  <si>
    <t>027-166</t>
  </si>
  <si>
    <t>AJO GRANULADO GOURMETLAND 650G (6)</t>
  </si>
  <si>
    <t>027-162</t>
  </si>
  <si>
    <t>-CANELA MOLIDA GOURMETLAND 600GR (6)</t>
  </si>
  <si>
    <t>027-167</t>
  </si>
  <si>
    <t>PAPRIKA GOURMETLAND 600GR (6)</t>
  </si>
  <si>
    <t>027-160</t>
  </si>
  <si>
    <t>-PIMIENTAC/LIMON GOURMETLAND 900GR (6)</t>
  </si>
  <si>
    <t>027-159</t>
  </si>
  <si>
    <t>-PIMIENTANEGRA GRAN. GOURMETLAND 500GR(6</t>
  </si>
  <si>
    <t>027-163</t>
  </si>
  <si>
    <t>-PIMIENTO ROJO TRIT. GOURMETLAND 400G(6)</t>
  </si>
  <si>
    <t>027-164</t>
  </si>
  <si>
    <t>-PIMIENTA MOLIDA GOURMETLAND 550G (6)</t>
  </si>
  <si>
    <t>018-002</t>
  </si>
  <si>
    <t>CHILE JALAPEÑO COSTEÑA 380G (24)</t>
  </si>
  <si>
    <t>008-019</t>
  </si>
  <si>
    <t>ATUN EN ACEITE ANCLA 120G (48)</t>
  </si>
  <si>
    <t>008-015</t>
  </si>
  <si>
    <t>ATUN EN ACEITE TUNY 1880G (6)</t>
  </si>
  <si>
    <t>008-017</t>
  </si>
  <si>
    <t>ATUN EN AGUA TUNY 1880G (6)</t>
  </si>
  <si>
    <t>008-021</t>
  </si>
  <si>
    <t>ATUN EN AGUA ANCLA 120G (48)</t>
  </si>
  <si>
    <t>008-014</t>
  </si>
  <si>
    <t>ATUN EN AGUA CON ACEITE TUNY 130G (48)</t>
  </si>
  <si>
    <t>008-016</t>
  </si>
  <si>
    <t>ATUN EN AGUA TUNY 130G (48)</t>
  </si>
  <si>
    <t>018-007</t>
  </si>
  <si>
    <t>CHILE RAJAS COSTEÑA 380G (24)</t>
  </si>
  <si>
    <t>074-023</t>
  </si>
  <si>
    <t>CLORALEX 500ML+1 ENSUEÑO 450ML(12)B9</t>
  </si>
  <si>
    <t>12+1</t>
  </si>
  <si>
    <t>085-023</t>
  </si>
  <si>
    <t>FLASH LAVANDA 1 LTO (12)</t>
  </si>
  <si>
    <t>085-018</t>
  </si>
  <si>
    <t>FLASH BRISA MARINA 1 LTO (12)</t>
  </si>
  <si>
    <t>044-041</t>
  </si>
  <si>
    <t>MAYONESA CON LIMON MC 725G (12)</t>
  </si>
  <si>
    <t>044-053</t>
  </si>
  <si>
    <t>#MAYONESA C/LIMON MC 725G (12)</t>
  </si>
  <si>
    <t>044-017</t>
  </si>
  <si>
    <t>-MAYONESA CON LIMON MC 190G (24)</t>
  </si>
  <si>
    <t>044-061</t>
  </si>
  <si>
    <t>#MAYONESA CON LIMON MC 190G (24)</t>
  </si>
  <si>
    <t>044-018</t>
  </si>
  <si>
    <t>MAYONESA CON LIMON MC 390G (12)</t>
  </si>
  <si>
    <t>044-023</t>
  </si>
  <si>
    <t>MAYONESA MC 3.4K (4)</t>
  </si>
  <si>
    <t>044-043</t>
  </si>
  <si>
    <t>MAYONESA CON LIMON MC 13 KG</t>
  </si>
  <si>
    <t>074-022</t>
  </si>
  <si>
    <t>CLORALEX 950ML+1 PINOLAROMA 500ML(12)B9</t>
  </si>
  <si>
    <t>064-017</t>
  </si>
  <si>
    <t>GARBANZO VERDE VALLE BOLSA 500GR. (20)</t>
  </si>
  <si>
    <t>029-015</t>
  </si>
  <si>
    <t>FRIJOLES RANCH COSTEÑA 410G (12)</t>
  </si>
  <si>
    <t>018-038</t>
  </si>
  <si>
    <t>CHILE LARGOS ESCABECHE COSTEÑA 380G (12)</t>
  </si>
  <si>
    <t>029-004</t>
  </si>
  <si>
    <t>FRIJOLES BAYOS REFRITOS COSTEÑA 580G (12</t>
  </si>
  <si>
    <t>029-006</t>
  </si>
  <si>
    <t>FRIJOLES NEGROS ENTEROS COSTEÑA 560G (12</t>
  </si>
  <si>
    <t>063-011</t>
  </si>
  <si>
    <t>SAZONADOR MC TIPO ITALIANO 177GR *(6</t>
  </si>
  <si>
    <t>027-026</t>
  </si>
  <si>
    <t>PAPRIKA PIMENTON MC 510G (6)</t>
  </si>
  <si>
    <t>027-048</t>
  </si>
  <si>
    <t>SAL CON AJO MC 1.16G (6)</t>
  </si>
  <si>
    <t>027-030</t>
  </si>
  <si>
    <t>PEREJIL PICADO MC 56G (6)</t>
  </si>
  <si>
    <t>063-014</t>
  </si>
  <si>
    <t>SAZONADOR P/CARNE MONTREAL MC 822G(6)</t>
  </si>
  <si>
    <t>027-014</t>
  </si>
  <si>
    <t>CHILE ROJO TRITURADO MC 368G (6)</t>
  </si>
  <si>
    <t>027-049</t>
  </si>
  <si>
    <t>AJO EN POLVO MC 595G (6)</t>
  </si>
  <si>
    <t>027-041</t>
  </si>
  <si>
    <t>PIMIENTA NEGRA MOLIDA MESA MC 510G (6)</t>
  </si>
  <si>
    <t>027-040</t>
  </si>
  <si>
    <t>PIMIENTA NEGRA MOLIDO GRUESA MC 453G (6)</t>
  </si>
  <si>
    <t>029-002</t>
  </si>
  <si>
    <t>FRIJOLES BAYOS ENTEROS COSTEÑA 560G (12)</t>
  </si>
  <si>
    <t>029-009</t>
  </si>
  <si>
    <t>FRIJOLES NEGROS REFRITOS COSTEÑA 580G(12</t>
  </si>
  <si>
    <t>059-024</t>
  </si>
  <si>
    <t>SALSA REDHOT ORIGINAL 3.78L (4)</t>
  </si>
  <si>
    <t>049-011</t>
  </si>
  <si>
    <t>MOSTAZA DIJON S.Q. FRENCHS 340G (8)</t>
  </si>
  <si>
    <t>059-041</t>
  </si>
  <si>
    <t>SALSA REDHOT WINGS ALITAS 3.78L (4)</t>
  </si>
  <si>
    <t>060-089</t>
  </si>
  <si>
    <t>SALSA MOLCAJ ROJA PRIMO 300 GR (24)B9</t>
  </si>
  <si>
    <t>032-032</t>
  </si>
  <si>
    <t>PURE MANZANA COSTEÑA 465G (12)</t>
  </si>
  <si>
    <t>018-025</t>
  </si>
  <si>
    <t>CHILE CHIPOTLE ADOBADO COSTEÑA 380G (24)</t>
  </si>
  <si>
    <t>059-005</t>
  </si>
  <si>
    <t>SALSA CHILE CHIPOTLE CHONITA 350 GR (24)</t>
  </si>
  <si>
    <t>032-096</t>
  </si>
  <si>
    <t>CEREZA C/TALLO DIANA 1.150KG (6)</t>
  </si>
  <si>
    <t>018-001</t>
  </si>
  <si>
    <t>CHILE JALAPEÑO COSTEÑA 220G (48)</t>
  </si>
  <si>
    <t>018-024</t>
  </si>
  <si>
    <t>CHILE CHIPOTLE ADOBADO COSTEÑA 220G (24)</t>
  </si>
  <si>
    <t>002-033</t>
  </si>
  <si>
    <t>ACEITUNA DESHUESADA CORINA 900G (6)</t>
  </si>
  <si>
    <t>018-006</t>
  </si>
  <si>
    <t>CHILE RAJAS COSTEÑA 220G (48)</t>
  </si>
  <si>
    <t>015-003</t>
  </si>
  <si>
    <t>CARNE MOLIDA KNORR 25K</t>
  </si>
  <si>
    <t>015-006</t>
  </si>
  <si>
    <t>%CARNE MOLIDA KNORR 25K</t>
  </si>
  <si>
    <t>048-008</t>
  </si>
  <si>
    <t>MOLE DOÑA MARIA 10 KG *TINA*</t>
  </si>
  <si>
    <t>018-032</t>
  </si>
  <si>
    <t>CHILE PIMIENTO MORRON COSTEÑA 200G (24)</t>
  </si>
  <si>
    <t>048-007</t>
  </si>
  <si>
    <t>MOLE DOÑA MARIA ROJO 4 KG *TINA*</t>
  </si>
  <si>
    <t>018-058</t>
  </si>
  <si>
    <t>CHILE CHIPOTLE HERDEZ 2.75K (6)</t>
  </si>
  <si>
    <t>044-059</t>
  </si>
  <si>
    <t>ADEREZO MAYONESA MC 13 KG</t>
  </si>
  <si>
    <t>069-097</t>
  </si>
  <si>
    <t>FRESH GOURMET CROUTON 2.5LB(4</t>
  </si>
  <si>
    <t>074-001</t>
  </si>
  <si>
    <t>CLORALEX 250 ML REGULAR (30)</t>
  </si>
  <si>
    <t>067-099</t>
  </si>
  <si>
    <t>PEPINILLO REB SAN MIGUEL 3.940 KG (4)</t>
  </si>
  <si>
    <t>018-033</t>
  </si>
  <si>
    <t>CHILE PIMIENTO MORRON SAN MIGUEL 185G(24</t>
  </si>
  <si>
    <t>018-034</t>
  </si>
  <si>
    <t>CHILE PIMIENTO MORRON SAN MIGUEL 420g(12</t>
  </si>
  <si>
    <t>067-123</t>
  </si>
  <si>
    <t>FLOR DE CALABAZA S.MIGUEL 780G (12)</t>
  </si>
  <si>
    <t>067-064</t>
  </si>
  <si>
    <t>ESPARRAGOS BLANCOS SAN MIGUEL 530 GR(12)</t>
  </si>
  <si>
    <t>067-051</t>
  </si>
  <si>
    <t>CORAZONES ALCACHOFA SAN MIGUEL 400GR(12)</t>
  </si>
  <si>
    <t>067-058</t>
  </si>
  <si>
    <t>ALCACHOFA CORAZON SAN MIGUEL 2.500 (6)</t>
  </si>
  <si>
    <t>067-111</t>
  </si>
  <si>
    <t>ALCACHOFA CORAZON S.MIGUEL POUCH 3KG (6)</t>
  </si>
  <si>
    <t>067-020</t>
  </si>
  <si>
    <t>ELOTITO TIERNO S.MIGUEL 220GR*(24)</t>
  </si>
  <si>
    <t>067-103</t>
  </si>
  <si>
    <t>ELOTITO TIERNO SAN MIGUEL 425 GR (12)</t>
  </si>
  <si>
    <t>002-013</t>
  </si>
  <si>
    <t>ACEITUNA DESHUESADA SAN MIGUEL 950G (12</t>
  </si>
  <si>
    <t>067-125</t>
  </si>
  <si>
    <t>-ELOTITO TIERNO SAN MIGUEL 2.950 KG (6)</t>
  </si>
  <si>
    <t>067-068</t>
  </si>
  <si>
    <t>PALMITO ENTERO S.MIGUEL 800G (12)</t>
  </si>
  <si>
    <t>067-100</t>
  </si>
  <si>
    <t>PALMITO ENTERO S.MIGUEL 420G (12)</t>
  </si>
  <si>
    <t>067-072</t>
  </si>
  <si>
    <t>TOMATE ENT.PELADO S.MIGUEL 3.0K POUCH(6)</t>
  </si>
  <si>
    <t>068-020</t>
  </si>
  <si>
    <t>VINAGRE BALSAMICO MOD.SAN MIGUEL 500M(12</t>
  </si>
  <si>
    <t>067-102</t>
  </si>
  <si>
    <t>-PEPINILLO REB SAN MIGUEL  780 GR (12)</t>
  </si>
  <si>
    <t>067-101</t>
  </si>
  <si>
    <t>PALMITO MITADES S.MIGUEL 400G (12)</t>
  </si>
  <si>
    <t>067-047</t>
  </si>
  <si>
    <t>CUITLACOCHE SAN MIGUEL 420 GR(12)</t>
  </si>
  <si>
    <t>067-104</t>
  </si>
  <si>
    <t>TOMATE DESHIDRATADO SAN MIGUEL 340 GR(12</t>
  </si>
  <si>
    <t>067-122</t>
  </si>
  <si>
    <t>TOMATE DESHIDRATADO S.MIGUEL 907GR</t>
  </si>
  <si>
    <t>032-039</t>
  </si>
  <si>
    <t>MANDARINA SAN MIGUEL 425G (24)</t>
  </si>
  <si>
    <t>032-035</t>
  </si>
  <si>
    <t>LICHIS EN ALMIBAR SAN MIGUEL 567G (24)</t>
  </si>
  <si>
    <t>006-063</t>
  </si>
  <si>
    <t>ARROZ ARBORIO SAN MIGUEL 500 GR (12)</t>
  </si>
  <si>
    <t>006-088</t>
  </si>
  <si>
    <t>-ARROZ BASMATI SAN MIGUEL 500 GR (12)</t>
  </si>
  <si>
    <t>134-006</t>
  </si>
  <si>
    <t>VINO BNC NAC.CALIFORNI WHITE WINE 1L(12)</t>
  </si>
  <si>
    <t>018-022</t>
  </si>
  <si>
    <t>CHILE CHIPOTLE COSTEÑA 105G (40)</t>
  </si>
  <si>
    <t>074-005</t>
  </si>
  <si>
    <t>CLORALEX 2 LTS  GIGANTE (8)</t>
  </si>
  <si>
    <t>044-064</t>
  </si>
  <si>
    <t>-ADEREZO DE MAYONESA C/LIMON HELL3.5KG(4</t>
  </si>
  <si>
    <t>044-068</t>
  </si>
  <si>
    <t>%ADEREZO DE MAYONESA C/LIMON HELL 3.5 KG</t>
  </si>
  <si>
    <t>023-047</t>
  </si>
  <si>
    <t>KNORR CONDIMIX POLLO 1K (10)</t>
  </si>
  <si>
    <t>044-069</t>
  </si>
  <si>
    <t>-MAYONESA BOLSA C/VALV HELLMANNS 3K (4)</t>
  </si>
  <si>
    <t>023-057</t>
  </si>
  <si>
    <t>-KNORR POLLO 3.5K + KNORR POLLO 1.5 KG</t>
  </si>
  <si>
    <t>060-105</t>
  </si>
  <si>
    <t>-KNORR BASE SALSA ROJA 500 GR (6)</t>
  </si>
  <si>
    <t>016-032</t>
  </si>
  <si>
    <t>-KETCHUP BOLSA C/VALV HELLMANS 3KG(4)</t>
  </si>
  <si>
    <t>091-002</t>
  </si>
  <si>
    <t>MICRODYN GOTERO 15ML (60)</t>
  </si>
  <si>
    <t>091-003</t>
  </si>
  <si>
    <t>MICRODYN 1 LTO (20)</t>
  </si>
  <si>
    <t>018-017</t>
  </si>
  <si>
    <t>-CHILE RAJAS HERDEZ 2.8K (6)</t>
  </si>
  <si>
    <t>044-013</t>
  </si>
  <si>
    <t>MAYONESA HELLMANN'S 13 Kg TINA</t>
  </si>
  <si>
    <t>044-067</t>
  </si>
  <si>
    <t>%MAYONESA HELLMANN'S 13 Kg TINA</t>
  </si>
  <si>
    <t>044-009</t>
  </si>
  <si>
    <t>MAYONESA HELLMANN´S 3.8K (4)</t>
  </si>
  <si>
    <t>044-065</t>
  </si>
  <si>
    <t>%MAYONESA HELLMANN´S 3.8K (4)</t>
  </si>
  <si>
    <t>003-005</t>
  </si>
  <si>
    <t>ADEREZO CESAR HELLMANN´S 3.8KG(4)EC</t>
  </si>
  <si>
    <t>003-075</t>
  </si>
  <si>
    <t>%ADEREZO CESAR HELLMANN´S 3.8KG(4)EC</t>
  </si>
  <si>
    <t>044-062</t>
  </si>
  <si>
    <t>MAYONESA HELLMANNS REAL 1.9K (4)</t>
  </si>
  <si>
    <t>023-025</t>
  </si>
  <si>
    <t>KNORR SUIZA C/24 TIRA (12)</t>
  </si>
  <si>
    <t>023-045</t>
  </si>
  <si>
    <t>- KNORR BASE DE TOMATE DESHIDRATADO 500G</t>
  </si>
  <si>
    <t>065-028</t>
  </si>
  <si>
    <t>SOPA KNORR ESTRELLITAS 2/6/95 GR</t>
  </si>
  <si>
    <t>044-014</t>
  </si>
  <si>
    <t>MAYONESA IBERIA COCINEROS 3.8K (4)</t>
  </si>
  <si>
    <t>035-037</t>
  </si>
  <si>
    <t>HARINA HOT CAKES CARTE D'OR  5K</t>
  </si>
  <si>
    <t>035-057</t>
  </si>
  <si>
    <t>%HARINA HOT CAKES CARTE D'OR  5K</t>
  </si>
  <si>
    <t>023-034</t>
  </si>
  <si>
    <t>KNORR SUIZA 100G (24)</t>
  </si>
  <si>
    <t>023-035</t>
  </si>
  <si>
    <t>KNORR TOMATE 100G (24)</t>
  </si>
  <si>
    <t>055-008</t>
  </si>
  <si>
    <t>PURE PAPA KNORR  3KG (4)</t>
  </si>
  <si>
    <t>055-012</t>
  </si>
  <si>
    <t>%PURE PAPA KNORR  3KG (4)</t>
  </si>
  <si>
    <t>055-001</t>
  </si>
  <si>
    <t>PURE PAPA KNORR  800 GR. (6)</t>
  </si>
  <si>
    <t>055-011</t>
  </si>
  <si>
    <t>%PURE PAPA KNORR  800 GR. (6)</t>
  </si>
  <si>
    <t>003-006</t>
  </si>
  <si>
    <t>ADEREZO MIL ISLAS HELLMANN´S 3.8 KG (4)</t>
  </si>
  <si>
    <t>003-003</t>
  </si>
  <si>
    <t>ADEREZO RANCH HELLMANN´S 3.8KG (4) EC</t>
  </si>
  <si>
    <t>003-070</t>
  </si>
  <si>
    <t>%ADEREZO RANCH HELLMANN´S 3.7L (4) EC</t>
  </si>
  <si>
    <t>003-002</t>
  </si>
  <si>
    <t>ADEREZO RANCH HELLMANN´S 3.7KG (4)</t>
  </si>
  <si>
    <t>003-069</t>
  </si>
  <si>
    <t>%ADEREZO RANCH HELLMANN´S 3.7K (4)</t>
  </si>
  <si>
    <t>003-009</t>
  </si>
  <si>
    <t>ADEREZO BLUE CHEESE HELLMANN´S 3.8KG (4)</t>
  </si>
  <si>
    <t>003-071</t>
  </si>
  <si>
    <t>%ADEREZO BLUE CHEESE HELLMANN´S 3.8KG (4</t>
  </si>
  <si>
    <t>023-022</t>
  </si>
  <si>
    <t>KNORR SUIZA 13K CUBETA</t>
  </si>
  <si>
    <t>023-500</t>
  </si>
  <si>
    <t>%KNORR SUIZA 13K CUBETA</t>
  </si>
  <si>
    <t>023-023</t>
  </si>
  <si>
    <t>KNORR SUIZA 3.5K  (6)</t>
  </si>
  <si>
    <t>023-059</t>
  </si>
  <si>
    <t>%KNORR SUIZA 3.5K  (6)</t>
  </si>
  <si>
    <t>065-019</t>
  </si>
  <si>
    <t>SOPA KNORR ESTRELLA 24/95 GR.</t>
  </si>
  <si>
    <t>065-021</t>
  </si>
  <si>
    <t>SOPA KNORR FIDEO/POLLO C/2/6/95GR</t>
  </si>
  <si>
    <t>065-022</t>
  </si>
  <si>
    <t>SOPA KNORR LETRA C/2/6/95 GR.</t>
  </si>
  <si>
    <t>065-020</t>
  </si>
  <si>
    <t>SOPA KNORR FIDEO C/2/6/95 GR.</t>
  </si>
  <si>
    <t>023-044</t>
  </si>
  <si>
    <t>-KNORR TOMATISIMO C/24 CUBOS (12)</t>
  </si>
  <si>
    <t>044-005</t>
  </si>
  <si>
    <t>MAYONESA LIGHT HELLMANN´S 395G (12)</t>
  </si>
  <si>
    <t>023-021</t>
  </si>
  <si>
    <t>KNORR CONSOME DE RES 1.6K (6)</t>
  </si>
  <si>
    <t>023-060</t>
  </si>
  <si>
    <t>%KNORR CONSOME DE RES 1.6K (6)</t>
  </si>
  <si>
    <t>059-008</t>
  </si>
  <si>
    <t>SALSA DEMIGLACE GOURMET KNORR 1.2 KG(6)</t>
  </si>
  <si>
    <t>023-020</t>
  </si>
  <si>
    <t>KNORR CAPEADOR 1.100K (6) BOTE</t>
  </si>
  <si>
    <t>003-004</t>
  </si>
  <si>
    <t>ADEREZO CESAR HELLMANN´S 3.8KG (4)</t>
  </si>
  <si>
    <t>054-001</t>
  </si>
  <si>
    <t>ARROZ C/LECHE CARTE DOR 575 GR(12</t>
  </si>
  <si>
    <t>023-027</t>
  </si>
  <si>
    <t>-KNORR CALDO DE POLLO  C/8 CUBOS (105)</t>
  </si>
  <si>
    <t>007-013</t>
  </si>
  <si>
    <t>MAIZENA SABOR NUEZ 47GR (144)</t>
  </si>
  <si>
    <t>007-008</t>
  </si>
  <si>
    <t>MAIZENA SABOR FRESA 47GR (144)</t>
  </si>
  <si>
    <t>007-010</t>
  </si>
  <si>
    <t>MAIZENA SABOR VAINILLA 47GR (144)</t>
  </si>
  <si>
    <t>007-006</t>
  </si>
  <si>
    <t>MAIZENA SABOR CHOCOLATE 45GR (144)</t>
  </si>
  <si>
    <t>007-002</t>
  </si>
  <si>
    <t>MAIZENA 160G (96)</t>
  </si>
  <si>
    <t>007-003</t>
  </si>
  <si>
    <t>MAIZENA 425G (40)</t>
  </si>
  <si>
    <t>007-001</t>
  </si>
  <si>
    <t>- MAIZENA 95G (150)</t>
  </si>
  <si>
    <t>007-004</t>
  </si>
  <si>
    <t>MAIZENA 750G (24)</t>
  </si>
  <si>
    <t>044-001</t>
  </si>
  <si>
    <t>-MAYONESA HELLMAN´S 105G (24) PET</t>
  </si>
  <si>
    <t>044-004</t>
  </si>
  <si>
    <t>MAYONESA HELLMANN´S 390G (12) PET</t>
  </si>
  <si>
    <t>052-005</t>
  </si>
  <si>
    <t>PASTA FIDEO 2 BARILLA C/40/200 GR *</t>
  </si>
  <si>
    <t>052-036</t>
  </si>
  <si>
    <t>PASTA SPAGHETTI # 7 BARILLA 500GR (25)</t>
  </si>
  <si>
    <t>052-039</t>
  </si>
  <si>
    <t>PASTA SPAGHETTI # 5 BARILLA 500G (25)</t>
  </si>
  <si>
    <t>052-038</t>
  </si>
  <si>
    <t>PASTA SPAGHETTI MEDIANO BARILLA 1KG (12)</t>
  </si>
  <si>
    <t>052-083</t>
  </si>
  <si>
    <t>PASTA CODO 4 BARILLA 500 GR (12)</t>
  </si>
  <si>
    <t>052-070</t>
  </si>
  <si>
    <t>PASTA BAVETTE BARILLA 500GR (25)</t>
  </si>
  <si>
    <t>052-001</t>
  </si>
  <si>
    <t>PASTA CAPELINNI NO.1 BARILLA 500GR (25)</t>
  </si>
  <si>
    <t>052-003</t>
  </si>
  <si>
    <t>PASTA FETTUCCINE BARILLA 500GRS (25)</t>
  </si>
  <si>
    <t>052-114</t>
  </si>
  <si>
    <t>PASTA PENNE/PLUMA BARILLA 4KG(3)</t>
  </si>
  <si>
    <t>023-017</t>
  </si>
  <si>
    <t>KNORR CALDO COSTILLA C/8CUBOS (24)</t>
  </si>
  <si>
    <t>003-011</t>
  </si>
  <si>
    <t>ADEREZO QUESO HELLMAN'S 1L (12)</t>
  </si>
  <si>
    <t>003-068</t>
  </si>
  <si>
    <t>%ADEREZO QUESO HELLMAN'S 1L (12)</t>
  </si>
  <si>
    <t>023-015</t>
  </si>
  <si>
    <t>KNORR CALDO CAMARON 1.6K (6)</t>
  </si>
  <si>
    <t>023-058</t>
  </si>
  <si>
    <t>%KNORR CALDO CAMARON 1.6K (6)</t>
  </si>
  <si>
    <t>023-029</t>
  </si>
  <si>
    <t>KNORR TOMATE 3.6K (6)</t>
  </si>
  <si>
    <t>023-061</t>
  </si>
  <si>
    <t>%KNORR TOMATE 3.6K (6)</t>
  </si>
  <si>
    <t>023-031</t>
  </si>
  <si>
    <t>-KNORR TOMATE C/24 CUBOS (12)</t>
  </si>
  <si>
    <t>003-012</t>
  </si>
  <si>
    <t>ADEREZO CESAR CLEMENTE 237 ML (12)</t>
  </si>
  <si>
    <t>003-013</t>
  </si>
  <si>
    <t>ADEREZO CESAR CLEMENTE 710 ML (6)</t>
  </si>
  <si>
    <t>003-014</t>
  </si>
  <si>
    <t>ADEREZO ITALIANO CLEMENTE 237ML (12)</t>
  </si>
  <si>
    <t>003-017</t>
  </si>
  <si>
    <t>ADEREZO ITALIANO CLEMENTE 710ML (6)</t>
  </si>
  <si>
    <t>003-018</t>
  </si>
  <si>
    <t>ADEREZO MIL ISLAS CLEMENTE 237GR (12)</t>
  </si>
  <si>
    <t>003-019</t>
  </si>
  <si>
    <t>-ADEREZO MIL ISLAS CLEMENTE 710 GR (6)</t>
  </si>
  <si>
    <t>003-020</t>
  </si>
  <si>
    <t>ADEREZO RANCH CLEMENTE 237 GR (12)</t>
  </si>
  <si>
    <t>052-097</t>
  </si>
  <si>
    <t>PASTA FONTANELLA SPAGHETTI 200 GR (20)</t>
  </si>
  <si>
    <t>067-107</t>
  </si>
  <si>
    <t>CHICHARO CLEMENTE JACQUES 420 GR (24)</t>
  </si>
  <si>
    <t>067-121</t>
  </si>
  <si>
    <t>ELOTE GRANO CLEMENTE 410GR (24)</t>
  </si>
  <si>
    <t>016-008</t>
  </si>
  <si>
    <t>SALSA CATSUP CLEMENTE 3.1K (6)</t>
  </si>
  <si>
    <t>034-076</t>
  </si>
  <si>
    <t>GRENETINA D'GARI 28GR (18)</t>
  </si>
  <si>
    <t>079-009</t>
  </si>
  <si>
    <t>ALCOHOL SOLIDO ALCOSOL 250ML*(100)</t>
  </si>
  <si>
    <t>068-005</t>
  </si>
  <si>
    <t>VINAGRE BLANCO CLEMENTE JACKS 3.7LTO (4)</t>
  </si>
  <si>
    <t>068-006</t>
  </si>
  <si>
    <t>VINAGRE MANZANA CLEMENTE 3.7L (4</t>
  </si>
  <si>
    <t>059-072</t>
  </si>
  <si>
    <t>-SALSA SOYA REG KIKOMAN 15.1 LTS</t>
  </si>
  <si>
    <t>053-005</t>
  </si>
  <si>
    <t>BETUN VAINILLA/CREAMY BETTY C. 453GR (8)</t>
  </si>
  <si>
    <t>052-035</t>
  </si>
  <si>
    <t>PASTA PENNE/PLUMA BARILLA 500G(14)</t>
  </si>
  <si>
    <t>034-047</t>
  </si>
  <si>
    <t>GELATINA PIÑA JELLO LIGHT 25G (40) SOBRE</t>
  </si>
  <si>
    <t>034-046</t>
  </si>
  <si>
    <t>GELATINA LIMON JELLO LIGHT 25G(40) SOBRE</t>
  </si>
  <si>
    <t>034-044</t>
  </si>
  <si>
    <t>GELATINA DURAZNO JELLO LIGHT 25G(40 SOBR</t>
  </si>
  <si>
    <t>034-045</t>
  </si>
  <si>
    <t>GELATINA FRESA JELLO LIGHT 25G(40) SOBRE</t>
  </si>
  <si>
    <t>022-076</t>
  </si>
  <si>
    <t>TANG FRESA RED 8/13G (12)</t>
  </si>
  <si>
    <t>034-043</t>
  </si>
  <si>
    <t>GELATINA FRESA JELLO 25G (40)</t>
  </si>
  <si>
    <t>034-048</t>
  </si>
  <si>
    <t>GELATINA LIMON JELLO 25G (40)</t>
  </si>
  <si>
    <t>034-050</t>
  </si>
  <si>
    <t>GELATINA UVA JELLO 25G (40)</t>
  </si>
  <si>
    <t>034-049</t>
  </si>
  <si>
    <t>GELATINA PIÑA JELLO 25G (40)</t>
  </si>
  <si>
    <t>034-041</t>
  </si>
  <si>
    <t>GELATINA DURAZNO JELLO 25G (40)</t>
  </si>
  <si>
    <t>034-078</t>
  </si>
  <si>
    <t>GELATINA MANGO JELLO 25G (40)</t>
  </si>
  <si>
    <t>033-104</t>
  </si>
  <si>
    <t>-GALLETAS RITZ C/12/.89G</t>
  </si>
  <si>
    <t>034-051</t>
  </si>
  <si>
    <t>FLAN CON CARAMELO JELLO 35G (36)</t>
  </si>
  <si>
    <t>052-098</t>
  </si>
  <si>
    <t>PASTA YEMINA ALFABETOS 200 GR (24)</t>
  </si>
  <si>
    <t>052-109</t>
  </si>
  <si>
    <t>PASTA YEMINA SEMILLA MELON 200GR (24)</t>
  </si>
  <si>
    <t>052-054</t>
  </si>
  <si>
    <t>PASTA YEMINA FIDEO MED.200 GR (24)</t>
  </si>
  <si>
    <t>052-106</t>
  </si>
  <si>
    <t>PASTA YEMINA FIDEO CAMBRAY 200 GR(24)</t>
  </si>
  <si>
    <t>052-099</t>
  </si>
  <si>
    <t>PASTA YEMINA CODO NO.1 200 GR (24)</t>
  </si>
  <si>
    <t>052-100</t>
  </si>
  <si>
    <t>PASTA YEMINA CODO NO.2 200 GR (24)</t>
  </si>
  <si>
    <t>052-101</t>
  </si>
  <si>
    <t>PASTA YEMINA CONCHA NO.1 200 GR (24)</t>
  </si>
  <si>
    <t>052-108</t>
  </si>
  <si>
    <t>PASTA YEMINA PLUMILLA N.1 200 GR (24)</t>
  </si>
  <si>
    <t>052-103</t>
  </si>
  <si>
    <t>PASTA YEMINA CORBATA 200 GR (24)</t>
  </si>
  <si>
    <t>052-065</t>
  </si>
  <si>
    <t>PASTA YEMINA SPAGUETTI 200 GR (24)</t>
  </si>
  <si>
    <t>052-107</t>
  </si>
  <si>
    <t>PASTA YEMINA MACARRON 200 GR (24)</t>
  </si>
  <si>
    <t>052-500</t>
  </si>
  <si>
    <t>PASTA TALLARIN YEMINA 200 GR (24)</t>
  </si>
  <si>
    <t>052-104</t>
  </si>
  <si>
    <t>PASTA YEMINA ESTRELLA NO.1 200GR (24)</t>
  </si>
  <si>
    <t>032-026</t>
  </si>
  <si>
    <t>PIÑA REBANADA CLEMENTE JACQUES 800G (12)</t>
  </si>
  <si>
    <t>032-049</t>
  </si>
  <si>
    <t>PIÑA REBANADA DIANA 800G (12)</t>
  </si>
  <si>
    <t>052-020</t>
  </si>
  <si>
    <t>PASTA FONTANELLA CODO 200GR (20)</t>
  </si>
  <si>
    <t>014-010</t>
  </si>
  <si>
    <t>-REFRESCO COCA COLA ORIGINAL 600 ML (12)</t>
  </si>
  <si>
    <t>030-011</t>
  </si>
  <si>
    <t>FRIJOL PINTO VERDE VALLE 1K (20)</t>
  </si>
  <si>
    <t>012-036</t>
  </si>
  <si>
    <t>CAFE SOLUBLE INTERNACIONAL 50G (12)</t>
  </si>
  <si>
    <t>012-056</t>
  </si>
  <si>
    <t>CAFE SOLUBLE INTERNACIONAL 100 GR (12)</t>
  </si>
  <si>
    <t>025-006</t>
  </si>
  <si>
    <t>CREMA CHAMPIÑONES CAMPBELL'S 300G (24)</t>
  </si>
  <si>
    <t>025-007</t>
  </si>
  <si>
    <t>CREMA ELOTE CAMPBELL'S 310G (24)</t>
  </si>
  <si>
    <t>008-046</t>
  </si>
  <si>
    <t>ATUN HOJUELA  AGUA S/SOYA TUNY 130G (48)</t>
  </si>
  <si>
    <t>025-008</t>
  </si>
  <si>
    <t>CREMA ESPARRAGOS CAMPBELL'S  300G(24)</t>
  </si>
  <si>
    <t>025-005</t>
  </si>
  <si>
    <t>CREMA CHILE POBLANO CAMPBELL'S 300G (24)</t>
  </si>
  <si>
    <t>059-021</t>
  </si>
  <si>
    <t>SALSA PREGO CAMPBELL'S 680GR (12)</t>
  </si>
  <si>
    <t>051-003</t>
  </si>
  <si>
    <t>EMPANIZADOR KNORR 5 KG  *BULTO*</t>
  </si>
  <si>
    <t>051-035</t>
  </si>
  <si>
    <t>%EMPANIZADOR KNORR 5 KG  *BULTO*</t>
  </si>
  <si>
    <t>065-016</t>
  </si>
  <si>
    <t>SOPA KNORR ARROZ BLANCO 3KG (4)</t>
  </si>
  <si>
    <t>065-017</t>
  </si>
  <si>
    <t>SOPA KNORR ARROZ ROJO 3KG (4)</t>
  </si>
  <si>
    <t>030-015</t>
  </si>
  <si>
    <t>FRIJOLES BAYOS REFRITO DESHID KNORR 3K(4</t>
  </si>
  <si>
    <t>023-007</t>
  </si>
  <si>
    <t>CONDIMIX TOMATE 14K BULTO</t>
  </si>
  <si>
    <t>023-005</t>
  </si>
  <si>
    <t>CONDIMIX POLLO 14K BULTO</t>
  </si>
  <si>
    <t>023-063</t>
  </si>
  <si>
    <t>%CONDIMIX POLLO 14K BULTO</t>
  </si>
  <si>
    <t>046-015</t>
  </si>
  <si>
    <t>MIEL DE ABEJA CARLOTA 1 KG (12)</t>
  </si>
  <si>
    <t>041-009</t>
  </si>
  <si>
    <t>- LECHE ENTERA EN POLVO CEREVITA 35 KG</t>
  </si>
  <si>
    <t>039-006</t>
  </si>
  <si>
    <t>LECHE LA LECHERA NESTLE 11K</t>
  </si>
  <si>
    <t>012-004</t>
  </si>
  <si>
    <t>CAFE DECAF STICK C/50/2 G (18) EXHIBI</t>
  </si>
  <si>
    <t>012-019</t>
  </si>
  <si>
    <t>CAFE CLASICO STICK NESCAFE C/50/2G (18)</t>
  </si>
  <si>
    <t>020-001</t>
  </si>
  <si>
    <t>CHOCOLATE ABUELITA C/6/90G(24) EXAG</t>
  </si>
  <si>
    <t>047-008</t>
  </si>
  <si>
    <t>NESQUICK CHOCOLATE 400 GR. (24)</t>
  </si>
  <si>
    <t>066-007</t>
  </si>
  <si>
    <t>TE LIMON MC. C/25 PZA (24)</t>
  </si>
  <si>
    <t>066-005</t>
  </si>
  <si>
    <t>TE HIERBABUENA MC. C/25 PZA (24)</t>
  </si>
  <si>
    <t>038-005</t>
  </si>
  <si>
    <t>LECHE LA LECHERA NESTLE 25.5K</t>
  </si>
  <si>
    <t>013-009</t>
  </si>
  <si>
    <t>CAJETA QUEMADA CORONADO 5K</t>
  </si>
  <si>
    <t>002-003</t>
  </si>
  <si>
    <t>ACEITUNA DESHUESADA BUFALO 175G(24)BOLSA</t>
  </si>
  <si>
    <t>093-003</t>
  </si>
  <si>
    <t>PAPEL HIG. JR MARLI C/12/180 MTS</t>
  </si>
  <si>
    <t>093-002</t>
  </si>
  <si>
    <t>PAPEL HIGIENICO JUMBO MARLI C/6/360MTS</t>
  </si>
  <si>
    <t>097-002</t>
  </si>
  <si>
    <t>SERVILLETA BCA MARLI C/450 HOJAS (12)</t>
  </si>
  <si>
    <t>097-008</t>
  </si>
  <si>
    <t>SERVILLETA INTERDOBLADA PETALO 24/250 H</t>
  </si>
  <si>
    <t>098-005</t>
  </si>
  <si>
    <t>TOALLA INTERDOBLADAS SANITAS C/20/100PZS</t>
  </si>
  <si>
    <t>093-005</t>
  </si>
  <si>
    <t>TOALLA EN ROLLO MARLI 6/180M KRAFT-CAFE</t>
  </si>
  <si>
    <t>093-006</t>
  </si>
  <si>
    <t>TOALLA EN ROLLO MARLI 6/180MTS BLANCA</t>
  </si>
  <si>
    <t>061-014</t>
  </si>
  <si>
    <t>SALSA BUFALO ROJA 150 GR (24)</t>
  </si>
  <si>
    <t>060-006</t>
  </si>
  <si>
    <t>SALSA BUFALO CLASICA 990GR (12)</t>
  </si>
  <si>
    <t>044-003</t>
  </si>
  <si>
    <t>-MAYONESA HELLMANN´S 190G (24) PET</t>
  </si>
  <si>
    <t>037-067</t>
  </si>
  <si>
    <t>JUGO CAMPBELL'S V-8 340ML(24) LATA</t>
  </si>
  <si>
    <t>060-102</t>
  </si>
  <si>
    <t>SALSA TATEMADA Y MARTAJADA R. 240GR (12)</t>
  </si>
  <si>
    <t>060-103</t>
  </si>
  <si>
    <t>SALSA TATEMADA Y MARTAJADA V. 240GR (12)</t>
  </si>
  <si>
    <t>026-054</t>
  </si>
  <si>
    <t>AZUCAR REF METCO C/1000/4G PORCION</t>
  </si>
  <si>
    <t>067-113</t>
  </si>
  <si>
    <t>ELOTE EN GRANO ASTRA 2.84KG (6)</t>
  </si>
  <si>
    <t>068-021</t>
  </si>
  <si>
    <t>VINAGRE MANZANA ASTRA 5LTS (4)</t>
  </si>
  <si>
    <t>002-035</t>
  </si>
  <si>
    <t>ACEITUNA NEGRA REBANADA ASTRA 3K(6)</t>
  </si>
  <si>
    <t>110-020</t>
  </si>
  <si>
    <t>GUANTE LATEX INTERPLAST MED. C/100 (10)</t>
  </si>
  <si>
    <t>110-024</t>
  </si>
  <si>
    <t>GUANTE DESHEC. INTERPLAST GDE. C/100 (10</t>
  </si>
  <si>
    <t>032-048</t>
  </si>
  <si>
    <t>MANGO EN REBANADAS CORINA 820G (12)</t>
  </si>
  <si>
    <t>018-063</t>
  </si>
  <si>
    <t>-CHILES NACHOS GENERICO 3 KG (6)</t>
  </si>
  <si>
    <t>089-022</t>
  </si>
  <si>
    <t>SUAVITEL ECOPACK AZUL 850ML (12)</t>
  </si>
  <si>
    <t>078-009</t>
  </si>
  <si>
    <t>LAVATRASTES AXION LIQ.LIMON 400M (12)</t>
  </si>
  <si>
    <t>078-001</t>
  </si>
  <si>
    <t>DETERGENTE AXION 250GR (48)</t>
  </si>
  <si>
    <t>085-011</t>
  </si>
  <si>
    <t>-FABULOSO MAR FRESCO 500ML (24)</t>
  </si>
  <si>
    <t>085-008</t>
  </si>
  <si>
    <t>FABULOSO LAVANDA 1L(12)</t>
  </si>
  <si>
    <t>085-053</t>
  </si>
  <si>
    <t>#FABULOSO LAVANDA 1L(12)</t>
  </si>
  <si>
    <t>085-012</t>
  </si>
  <si>
    <t>FABULOSO MAR FRESCO 1 LTO  * (12</t>
  </si>
  <si>
    <t>085-054</t>
  </si>
  <si>
    <t>#FABULOSO MAR FRESCO 1 LTO  * (12</t>
  </si>
  <si>
    <t>085-015</t>
  </si>
  <si>
    <t>FABULOSO PASION DE FRUTAS 1 LT *(12)</t>
  </si>
  <si>
    <t>085-057</t>
  </si>
  <si>
    <t>#FABULOSO PASION DE FRUTAS 1 LT (12)</t>
  </si>
  <si>
    <t>085-006</t>
  </si>
  <si>
    <t>FABULOSO FRESCO AMANECER 1LTO(12)</t>
  </si>
  <si>
    <t>085-055</t>
  </si>
  <si>
    <t>#FABULOSO FRESCO AMANECER 1LTO(12)</t>
  </si>
  <si>
    <t>085-003</t>
  </si>
  <si>
    <t>FABULOSO ENERGIA NARANJA 1LTO (12</t>
  </si>
  <si>
    <t>085-056</t>
  </si>
  <si>
    <t>#FABULOSO ENERGIA NARANJA 1LTO (12</t>
  </si>
  <si>
    <t>085-058</t>
  </si>
  <si>
    <t>#FABULOSO ALTERNATIVA CLORO 1LTO (12)</t>
  </si>
  <si>
    <t>085-036</t>
  </si>
  <si>
    <t>AJAX LIQ. C/AMONIA 1 LTO (12)</t>
  </si>
  <si>
    <t>085-010</t>
  </si>
  <si>
    <t>FABULOSO LAVANDA 5 LTS (3)</t>
  </si>
  <si>
    <t>083-034</t>
  </si>
  <si>
    <t>TELA MAGITEL C/5 PZA (48)</t>
  </si>
  <si>
    <t>089-025</t>
  </si>
  <si>
    <t>VEL ROSITA 1 LTO (12)</t>
  </si>
  <si>
    <t>085-034</t>
  </si>
  <si>
    <t>-AJAX BICLORO GRANDE 388 GR (48)</t>
  </si>
  <si>
    <t>113-004</t>
  </si>
  <si>
    <t>CREMA COLGATE 100ML(72)</t>
  </si>
  <si>
    <t>018-059</t>
  </si>
  <si>
    <t>CHILE NACHOS EL MEXICANO 2.8KG(6)</t>
  </si>
  <si>
    <t>057-019</t>
  </si>
  <si>
    <t>QUESO CHEDAR P/NACHOS GEHL'S 3KG</t>
  </si>
  <si>
    <t>137-001</t>
  </si>
  <si>
    <t>CHILORIO DE CERDO LA CHATA 215 GR (14)</t>
  </si>
  <si>
    <t>026-009</t>
  </si>
  <si>
    <t>AZUCAR MASCABADO METCO 1KG (20)</t>
  </si>
  <si>
    <t>026-048</t>
  </si>
  <si>
    <t>AZUCAR MASCABADO METCO C/50/4GR (12)</t>
  </si>
  <si>
    <t>026-010</t>
  </si>
  <si>
    <t>AZUCAR MASCABADO METCO 1.4 KG(12)</t>
  </si>
  <si>
    <t>003-029</t>
  </si>
  <si>
    <t>-ADEREZO MAYONESA MEGA 3.65K (6)</t>
  </si>
  <si>
    <t>003-025</t>
  </si>
  <si>
    <t>ADEREZO MAYONESA STAR VALUE 3.52K (6)</t>
  </si>
  <si>
    <t>016-006</t>
  </si>
  <si>
    <t>SALSA TIPO CATSUP MEGA SUPREMA 4.5K (6)</t>
  </si>
  <si>
    <t>016-010</t>
  </si>
  <si>
    <t>SALSA CATSUP STAR VALUE 3.72K  (6)</t>
  </si>
  <si>
    <t>003-066</t>
  </si>
  <si>
    <t>-CATSUP MEGA ALIMENTOS  204/8GR (6) PORC</t>
  </si>
  <si>
    <t>044-027</t>
  </si>
  <si>
    <t>MAYONESA MEGA SUPREMA 3.57K (6)</t>
  </si>
  <si>
    <t>044-028</t>
  </si>
  <si>
    <t>MAYONESA STAR VALUE BAJA GRASA 3.45K (6)</t>
  </si>
  <si>
    <t>049-008</t>
  </si>
  <si>
    <t>MOSTAZA MEGA 3.85KG (6)</t>
  </si>
  <si>
    <t>049-009</t>
  </si>
  <si>
    <t>MOSTAZA STAR VALUE 3.7KG (6)</t>
  </si>
  <si>
    <t>060-033</t>
  </si>
  <si>
    <t>SALSA CHAMOY MEGA 1 LTO (12)</t>
  </si>
  <si>
    <t>060-008</t>
  </si>
  <si>
    <t>SALSA CHAMOY MEGA 4LTS (6)</t>
  </si>
  <si>
    <t>063-034</t>
  </si>
  <si>
    <t>SAZONADOR MANTEQUIL.C/SAL PRAGNA 900G(12</t>
  </si>
  <si>
    <t>027-142</t>
  </si>
  <si>
    <t>PIMIENTA CON LIMON PRAGNA 393 GR (6)</t>
  </si>
  <si>
    <t>058-042</t>
  </si>
  <si>
    <t>SAL DEL HIMALAYA MOLIDA PRAGNA 500 (6)</t>
  </si>
  <si>
    <t>063-026</t>
  </si>
  <si>
    <t>SAZONADOR DE AJO Y HIERBAS PRAGNA 246G(6</t>
  </si>
  <si>
    <t>027-145</t>
  </si>
  <si>
    <t>PIMIENTA NEGRA ENTERA PRAGNA 170 GR (12)</t>
  </si>
  <si>
    <t>060-003</t>
  </si>
  <si>
    <t>SALSA BOTANERA ROJA 1 LTO (12)</t>
  </si>
  <si>
    <t>060-002</t>
  </si>
  <si>
    <t>SALSA BOTANERA ROJA 500 ML (24)</t>
  </si>
  <si>
    <t>060-004</t>
  </si>
  <si>
    <t>SALSA BOTANERA ROJA 4LTS (6)</t>
  </si>
  <si>
    <t>060-005</t>
  </si>
  <si>
    <t>SALSA BOTANERA PORC C/840/10GRS</t>
  </si>
  <si>
    <t>060-099</t>
  </si>
  <si>
    <t>SALSA LA BOTANERA MUY PICANTE 4L (6)</t>
  </si>
  <si>
    <t>060-097</t>
  </si>
  <si>
    <t>SALSA BOTANERA MUY PICANTE 370 ML (12)</t>
  </si>
  <si>
    <t>019-009</t>
  </si>
  <si>
    <t>SALSA EN POLVO TAJIN 907 GR (6)</t>
  </si>
  <si>
    <t>019-001</t>
  </si>
  <si>
    <t>SALSA EN POLVO TAJIN 142G (12)</t>
  </si>
  <si>
    <t>019-002</t>
  </si>
  <si>
    <t>SALSA EN POLVO TAJIN 400G (12)</t>
  </si>
  <si>
    <t>068-022</t>
  </si>
  <si>
    <t>VINAGRE MANZANA LA ANITA  3.785L (4)</t>
  </si>
  <si>
    <t>002-019</t>
  </si>
  <si>
    <t>ACEITUNA C/ANCHOAS CARBONELL 340G (12)</t>
  </si>
  <si>
    <t>067-054</t>
  </si>
  <si>
    <t>ALCAPARRAS CARBONELL 100 GR (12)</t>
  </si>
  <si>
    <t>002-021</t>
  </si>
  <si>
    <t>ACEITUNA NEGRA REBANADA CARBONELL 3K(6)</t>
  </si>
  <si>
    <t>002-017</t>
  </si>
  <si>
    <t>ACEITUNA C/HUESO CARBONELL 350G (12)</t>
  </si>
  <si>
    <t>002-018</t>
  </si>
  <si>
    <t>ACEITUNA C/PIMIENTO CARBONELL 350G (12)</t>
  </si>
  <si>
    <t>067-055</t>
  </si>
  <si>
    <t>ALCAPARRAS CARBONELL 350 GR (12)</t>
  </si>
  <si>
    <t>002-020</t>
  </si>
  <si>
    <t>ACEITUNA NEGRA S/HUESO CARBONELL 340G(12</t>
  </si>
  <si>
    <t>002-032</t>
  </si>
  <si>
    <t>ACEITUNA S/HUESO CARBONELL 140G 5CYL(12)</t>
  </si>
  <si>
    <t>002-016</t>
  </si>
  <si>
    <t>-ACEITUNA S/HUESO CARBONELL 180G (12)DOY</t>
  </si>
  <si>
    <t>Prods con ()</t>
  </si>
  <si>
    <t>Prods con PZA</t>
  </si>
  <si>
    <t>Prods con venta</t>
  </si>
  <si>
    <t>%FRIJOLESBAYOSKNORR18KG</t>
  </si>
  <si>
    <t>FRIJOLESBAYOSKNORR18KG</t>
  </si>
  <si>
    <t>CUBETACAJETAQUEMADANATURASOL4.5KG</t>
  </si>
  <si>
    <t>#CEREALZUCARITASKELLOGG'S380GR(21)</t>
  </si>
  <si>
    <t>CEREALFROOTLOOPSKELLOGG'S380GR(24)</t>
  </si>
  <si>
    <t>CONCENTRADOMANGOFRUTIVA1L(12)</t>
  </si>
  <si>
    <t>-FRIJOLPINTOSCHETTINO1K(10)</t>
  </si>
  <si>
    <t>GALLETASCRACKETSGAMESA20/135G</t>
  </si>
  <si>
    <t>GALLETASCRACKETSGAMESA20/89G</t>
  </si>
  <si>
    <t>-GALLETASSURTIDOCREMAX1008G</t>
  </si>
  <si>
    <t>-GALLETASHABANERABRAN270GR(24)</t>
  </si>
  <si>
    <t>#JUGOMANGOBIDA500ML(12)</t>
  </si>
  <si>
    <t>#V8SPLASHSTRAWKIWI500ML(12)</t>
  </si>
  <si>
    <t>#JUGOUVABIDA500ML(12)</t>
  </si>
  <si>
    <t>#JUGOFRESABIDA500ML(12)</t>
  </si>
  <si>
    <t>#JUGOGUAYABABIDA500ML(12)</t>
  </si>
  <si>
    <t>#V8SPLASHBERRYBLEND500ML(12)</t>
  </si>
  <si>
    <t>#V8SPLASHORANGE500ML(12)</t>
  </si>
  <si>
    <t>-MANTECAINCA100G(20)</t>
  </si>
  <si>
    <t>-MANTECAINCA100G(20)***</t>
  </si>
  <si>
    <t>-MANGAMERMELADAPIÑA1K(10)</t>
  </si>
  <si>
    <t>-MANGAMERMELADAFRESA1K(10)</t>
  </si>
  <si>
    <t>MOLELPSTETRABUENO360GR.(21)</t>
  </si>
  <si>
    <t>SALSADEMIGLACEAJI-SAZON4KG.(2)</t>
  </si>
  <si>
    <t>TESNAPPLEFRAMBUESA475ML(12)</t>
  </si>
  <si>
    <t>TESNAPPLELIMON473ML(12)</t>
  </si>
  <si>
    <t>TESNAPPLEDURAZNO475ML(12)</t>
  </si>
  <si>
    <t>POPOTEESTUCHADOBIOC/2000</t>
  </si>
  <si>
    <t>PAPELHIGIENICOJRMARLIC/12/200MTS</t>
  </si>
  <si>
    <t>SERVILLETAPETALOBCAC/100HOJAS(48)</t>
  </si>
  <si>
    <t>-ACEITECRISTAL500ML(24)</t>
  </si>
  <si>
    <t>ACEITECRISTAL1L(12)</t>
  </si>
  <si>
    <t>ACEITECRISTAL20LBIDON</t>
  </si>
  <si>
    <t>ACEITECRISTALCANOLA20LBIDON</t>
  </si>
  <si>
    <t>-ACEITE123500ML.(24)</t>
  </si>
  <si>
    <t>ACEITE1231L(12)</t>
  </si>
  <si>
    <t>ACEITEKARTAMUS900ML(12)</t>
  </si>
  <si>
    <t>ACEITECANOIL946ML(12)</t>
  </si>
  <si>
    <t>ACEITECOCOORGANICOCALAHUA342ML(12)</t>
  </si>
  <si>
    <t>ACEITEOLIVAE.VINES5L(4)</t>
  </si>
  <si>
    <t>ACEITEOLIVAPUROINES5L(4)</t>
  </si>
  <si>
    <t>ACEITEOLIVAE.VINES1L(12)</t>
  </si>
  <si>
    <t>ACEITEOLIVAPUROINES1L(12)</t>
  </si>
  <si>
    <t>ACEITEAJONJOLIE.VINES250ML(12)</t>
  </si>
  <si>
    <t>ACEITEDEMAIZCRISTAL20LBIDON</t>
  </si>
  <si>
    <t>ACEITESUPREMEOILSBIDON20LT</t>
  </si>
  <si>
    <t>ACEITEDECANOLA20LITROS</t>
  </si>
  <si>
    <t>-ACEITEKINGFRYBIDON20LTS</t>
  </si>
  <si>
    <t>-ACEITEOLEINBIDON20LT</t>
  </si>
  <si>
    <t>-ACEITESOYABIDON20LT</t>
  </si>
  <si>
    <t>#ADEREZODEMAYONEZACHIPOTLESQ12/310G</t>
  </si>
  <si>
    <t>AGUAPURIFICADAGYMC/24/500ML.</t>
  </si>
  <si>
    <t>AGUAPURIFICADAGYMC/12/1L</t>
  </si>
  <si>
    <t>AGUAPURIFICADABONAFONT600ML(12)</t>
  </si>
  <si>
    <t>AGUAPURIFICADAGERBER4L(6)</t>
  </si>
  <si>
    <t>AGUAMINERALPERRIER330ML(24)</t>
  </si>
  <si>
    <t>ARROZDIAMANTEC/20/450GBOLSA</t>
  </si>
  <si>
    <t>-ARROZIMPEGABLEDIAMANTE750G(12)</t>
  </si>
  <si>
    <t>ARROZIMPEGABLEDIAMANTE5K</t>
  </si>
  <si>
    <t>ARROZROJOPAISAC/25KBULTO</t>
  </si>
  <si>
    <t>ARROZSANJOSE700G(16)</t>
  </si>
  <si>
    <t>ARROZIMPEGABLESCHETTINO5K</t>
  </si>
  <si>
    <t>ARROZPAISA1KG(10)</t>
  </si>
  <si>
    <t>ARROZSANTAISABEL907GR(10)</t>
  </si>
  <si>
    <t>ARROZDIAMANTE900GR(10)</t>
  </si>
  <si>
    <t>ARROZSUPEREXTRAPAISA907GR(10)</t>
  </si>
  <si>
    <t>ARROZSCHETTINO1KG(10)</t>
  </si>
  <si>
    <t>ATUNENAGUAASTRA1.88K(6)</t>
  </si>
  <si>
    <t>ATUNENAGUADORADO1.8KG(6)</t>
  </si>
  <si>
    <t>ATUNHOJ/ACEITES/SOYATUNY130G(48)</t>
  </si>
  <si>
    <t>CREMADECOCOCALAHUA480G(24)</t>
  </si>
  <si>
    <t>CREMADECOCOCALAHUA1L(12)TETRA</t>
  </si>
  <si>
    <t>CREMADECOCOCALAHUA2L(6)GARRAFA</t>
  </si>
  <si>
    <t>PIÑACOLADACALAHUA380ML(24)</t>
  </si>
  <si>
    <t>PIÑACOLADAMIXCALAHUA1L(12)</t>
  </si>
  <si>
    <t>JARABEGRANADINAMADRILEÑA1L(12)</t>
  </si>
  <si>
    <t>JARABENATURALMADRILEÑA1L(12)</t>
  </si>
  <si>
    <t>CREMADECOCOCALAHUA240G(24)</t>
  </si>
  <si>
    <t>SANGRITAVIUDADESANCHEZ1L(12)</t>
  </si>
  <si>
    <t>COCTTOMATE/ALMEJACUBANOCLAMATO946(12</t>
  </si>
  <si>
    <t>AGUADECOCOACAPULCOCONATURAL330M(18)</t>
  </si>
  <si>
    <t>AGUADECOCOACAPULCOCONATURAL1L(12)</t>
  </si>
  <si>
    <t>AGUADECOCOMARACUYAACAPULCOCO330M(18</t>
  </si>
  <si>
    <t>AGUADECOCOPIÑAACAPULCOCO330ML(18)</t>
  </si>
  <si>
    <t>AGUADECOCOARANDANOACAPULCOCO330M(18</t>
  </si>
  <si>
    <t>CAFEMOLIDOAMERICANOLAFUENTE500G(10</t>
  </si>
  <si>
    <t>CAFEMOLIDODESCAFEINALAFUENTE500G(10</t>
  </si>
  <si>
    <t>-CAFECLASICONESCAFE5KG</t>
  </si>
  <si>
    <t>-CAFEMEZCLADELACASAMOLIDO.500KG</t>
  </si>
  <si>
    <t>CAJETAQUEMADACORONADO333GR(28)</t>
  </si>
  <si>
    <t>-REFRESCOCOCACOLALIGHT355MLLATA(24</t>
  </si>
  <si>
    <t>-REFRESCOCOCACOLAORIG355MLLATA(24)</t>
  </si>
  <si>
    <t>AGUAMINTOPOCHICOAGUAMINERAL1.5L(6</t>
  </si>
  <si>
    <t>CEREALCORNFLAKESKELLOGG'S560G(16)</t>
  </si>
  <si>
    <t>CEREALZUCARITASKELLOGG'S600G(16)</t>
  </si>
  <si>
    <t>#CEREALCORNPOPSKELLOGG'S450G(24)</t>
  </si>
  <si>
    <t>CEREALCHOCOKRISPISKELLOGG'S540G(24</t>
  </si>
  <si>
    <t>#CEREALCORNFLAKESKELLOGG'S410GR(10)</t>
  </si>
  <si>
    <t>CHILECHIPOTLEELMEXICANO2.8K(6)</t>
  </si>
  <si>
    <t>CHILEJALAPEÑOELMEXICANO2.8K(6)</t>
  </si>
  <si>
    <t>CHILERAJASELMEXICANO2.8K(6)</t>
  </si>
  <si>
    <t>CHILECHIPOTLECLEMENTE380GR(24)</t>
  </si>
  <si>
    <t>-CHOCOLATEOSOMARQUETA25/200G(5)</t>
  </si>
  <si>
    <t>CHOCOLATEPOPULARMARQUETA250G(20)</t>
  </si>
  <si>
    <t>CHOCOLATEPREMIUMMARQUETA250G(20)</t>
  </si>
  <si>
    <t>CHOCOLATEPOPULARMARQUETA125G(40)</t>
  </si>
  <si>
    <t>CONCENTRADOHORCHATAF-DIAZ5L(4)</t>
  </si>
  <si>
    <t>CONCENTRADOJAMAICAF-DIAZ5L(4)</t>
  </si>
  <si>
    <t>CONCENTRADOMANGOF-DIAZ5L(4)</t>
  </si>
  <si>
    <t>CONCENTRADOTAMARINDOF-DIAZ5L(4)</t>
  </si>
  <si>
    <t>CONCENTRADOFRESAFRUTIVA1L(12)</t>
  </si>
  <si>
    <t>CONCENTRADOGUAYABAFRUTIVA1L(12)</t>
  </si>
  <si>
    <t>CONCENTRADOTRADFRUTIVAHORCHATA1L(12)</t>
  </si>
  <si>
    <t>CONCENTRADOJAMAICAFRUTIVA1L(12)</t>
  </si>
  <si>
    <t>CONCENTRADOLIMONFRUTIVA1L(12)</t>
  </si>
  <si>
    <t>CONCENTRADOTAMARINDOFRUTIVA1L(12)</t>
  </si>
  <si>
    <t>-CONCENTRADOTELIMONFRUTIVA1L(12)</t>
  </si>
  <si>
    <t>-CONCENTRADOTEDURAZNOFRUTIVA1L(12)</t>
  </si>
  <si>
    <t>CONCENTRADOMELONFRUTIVA1L(12)</t>
  </si>
  <si>
    <t>CONCENTRADOTRAD.FRUTIVALIMONADA1L(12</t>
  </si>
  <si>
    <t>CONCENTRADOTRAD.FRUTIVAJAMAICA1LT(12)</t>
  </si>
  <si>
    <t>CONCENTRADOTRAD.FRUTIVAMANGO1LTO(12)</t>
  </si>
  <si>
    <t>CONCENTRADOTRAD.FRUTIVATAMARINDO1L(12</t>
  </si>
  <si>
    <t>CONCENTRADOTRADFRUTIVAGUAYABA1L(12)</t>
  </si>
  <si>
    <t>CONCENTRADOTRADFRUTIVAFRESA1L(12)</t>
  </si>
  <si>
    <t>CONCENTRADOGUANABANAFRUTIVA1L(12)</t>
  </si>
  <si>
    <t>TANGFRESAC/8/13G(12)</t>
  </si>
  <si>
    <t>TANGHORCHATAC/8/13G(12)</t>
  </si>
  <si>
    <t>TANGJAMAICAC/8/13G(12)</t>
  </si>
  <si>
    <t>TANGLIMONC/8/13G(12)</t>
  </si>
  <si>
    <t>TANGMANGOC/8/13G(12)</t>
  </si>
  <si>
    <t>TANGMELONC/8/13G(12)</t>
  </si>
  <si>
    <t>TANGNARANJAC/8/13G(12)</t>
  </si>
  <si>
    <t>TANGPIÑAC/8/13G(12)</t>
  </si>
  <si>
    <t>TANGTAMARINDOC/8/13G(12)</t>
  </si>
  <si>
    <t>TANGUVAC/8/13G(12)</t>
  </si>
  <si>
    <t>ZUKODURAZNOC/8/13G(12)</t>
  </si>
  <si>
    <t>ZUKOJAMAICAC/8/13G(12)</t>
  </si>
  <si>
    <t>ZUKOLIMONC/8/13G(12)</t>
  </si>
  <si>
    <t>ZUKOMANGOC/8/13G(12)</t>
  </si>
  <si>
    <t>ZUKOMELONC/8/13G(12)</t>
  </si>
  <si>
    <t>ZUKONARANJAC/8/13G(12)</t>
  </si>
  <si>
    <t>ZUKOPIÑAC/8/13G(12)</t>
  </si>
  <si>
    <t>ZUKOSANDIAC/8/13G(12)</t>
  </si>
  <si>
    <t>ZUKOTAMARINDOC/8/13G(12)</t>
  </si>
  <si>
    <t>ZUKOUVAC/8/13G(12)</t>
  </si>
  <si>
    <t>ZUKOHORCHATAC/8/13G(12)</t>
  </si>
  <si>
    <t>ZUKOFRESAC/8/13G(12)</t>
  </si>
  <si>
    <t>-ZUKOMANDARINAC/8/13G(12)</t>
  </si>
  <si>
    <t>ZUKOMANZANAC/8/13G(12)</t>
  </si>
  <si>
    <t>TANGJAMAICARUBIKC/10/13G(12)</t>
  </si>
  <si>
    <t>ZUKOPIÑACOLADAC/8/13G(12)</t>
  </si>
  <si>
    <t>CALDOCAMARONAJI-SAZON1K(10)</t>
  </si>
  <si>
    <t>CALDODEPOLLOPREMAJI-SAZON14K</t>
  </si>
  <si>
    <t>CALDODEPOLLOPREMAJI-SAZON2.7KG(4)</t>
  </si>
  <si>
    <t>SAZONADORECPOLLOAJI-SAZON10KG</t>
  </si>
  <si>
    <t>SAZONADORECPOLLOAJI-SAZON2.7KG(4)</t>
  </si>
  <si>
    <t>SAZONADORUNIVPOLVOAJI-SAZON2.7KG(4)</t>
  </si>
  <si>
    <t>-SAZONADORRESAJI-SAZON1KG(10)</t>
  </si>
  <si>
    <t>SAZONADORUMAMIAJI-NO-MOTO1KG(18)</t>
  </si>
  <si>
    <t>CREMAPARACAFEMARINOC/1000/3GSOBRES</t>
  </si>
  <si>
    <t>CREMACHOCOLATE/AVELLANASNUTELLA750G(12</t>
  </si>
  <si>
    <t>#MEDIACREMA225GRNESTLE(24)</t>
  </si>
  <si>
    <t>-CREMAAVELLANAS/CACAONUTELLA3KG(2)</t>
  </si>
  <si>
    <t>CREMACHOCO/AVELLANASNUTELLA950GR(8)</t>
  </si>
  <si>
    <t>-AZUCARMORENAAVANCE906G(10)</t>
  </si>
  <si>
    <t>AZUCARBLANCAAVANCE906G(10)</t>
  </si>
  <si>
    <t>AZUCARBLANCAREFINADAC/50K</t>
  </si>
  <si>
    <t>AZUCARMORENAGRANMYA908G(10)</t>
  </si>
  <si>
    <t>AZUCARREFINADAGRANMYA910G(10)</t>
  </si>
  <si>
    <t>AZUCARMARINOC/1000/4GPORCION</t>
  </si>
  <si>
    <t>ENDULZANTESTEVIAC/700/1G</t>
  </si>
  <si>
    <t>ENDULZANTESTEVIAN´JOYC/300/1G</t>
  </si>
  <si>
    <t>AZUCARMORENALANUESTRA500G(20)</t>
  </si>
  <si>
    <t>AZUCARGLASSBULTO25KG</t>
  </si>
  <si>
    <t>JARABEMAPLEMUDENASC/105/30G</t>
  </si>
  <si>
    <t>AZUCARMORENAESTANDAR25KG</t>
  </si>
  <si>
    <t>AZUCARBLANCAREFINADAC/25K</t>
  </si>
  <si>
    <t>AZUCARDELAGGC/1000/3.6GPORCION</t>
  </si>
  <si>
    <t>VAINILLACIERVO1L(12)</t>
  </si>
  <si>
    <t>AJOENPOLVOPRAGNA794G(12)</t>
  </si>
  <si>
    <t>AJOGRANULADOPRAGNA700G(12)</t>
  </si>
  <si>
    <t>CANELAMOLIDAPRAGNA771G(12)</t>
  </si>
  <si>
    <t>CEBOLLAENPOLVOPRAGNA724G(12)</t>
  </si>
  <si>
    <t>CHILEROJOTRITURADOPRAGNA385G(12)</t>
  </si>
  <si>
    <t>COMINOMOLIDOPRAGNA569G(12)</t>
  </si>
  <si>
    <t>IMITACIONTOCINOPRAGNA520G(12)</t>
  </si>
  <si>
    <t>PAPRIKAPRAGNA616G(12)</t>
  </si>
  <si>
    <t>PIMIENTABLANCAMOLIDAPRAGNA700G(12)</t>
  </si>
  <si>
    <t>PIMIENTACONLIMONPRAGNA1.1K(12)</t>
  </si>
  <si>
    <t>PIMIENTANEGRAMOLIDAPRAGNA530G(12)</t>
  </si>
  <si>
    <t>SALCONAJOPRAGNA1.100G(12)</t>
  </si>
  <si>
    <t>VAINILLACIERVO4L(4)</t>
  </si>
  <si>
    <t>-CEBOLLAENPOLVOPRAGNA100GR(10)</t>
  </si>
  <si>
    <t>-HOJADELAURELMCMEMBERSM40GR</t>
  </si>
  <si>
    <t>FRIJOLPINTONACIONAL25KG</t>
  </si>
  <si>
    <t>CEREZAMARASCHINODIANA2.1K(6)</t>
  </si>
  <si>
    <t>CEREZAMARASCHINODIANA4.150K(4)</t>
  </si>
  <si>
    <t>CEREZACONRABOLOL-TUN4K(4)</t>
  </si>
  <si>
    <t>CEREZAC/TALLOMARASCHINODIANA2.7K(4)</t>
  </si>
  <si>
    <t>PIÑAREBANADACORINA800GR(12)</t>
  </si>
  <si>
    <t>-TROZO/PIÑACLEMTEJACQUES800GR(12)</t>
  </si>
  <si>
    <t>GALLETASOREONABISCO4X63G(252G)(12)</t>
  </si>
  <si>
    <t>GALLETASOREONABISCOC/14/114GR</t>
  </si>
  <si>
    <t>-GALLETASOREONABISCOC/21/114GR</t>
  </si>
  <si>
    <t>-GALLEOREOMOLIDAPRAGNA1KGBOL(5)</t>
  </si>
  <si>
    <t>GELATINAAGUAFRESAD'GARI720G(10)</t>
  </si>
  <si>
    <t>FLANVAINILLAD'GARI805GR(10)</t>
  </si>
  <si>
    <t>-FLANCHOCOLATELORES1K(10)</t>
  </si>
  <si>
    <t>GELATINAUVAD´GARI120G(50)</t>
  </si>
  <si>
    <t>GELATINAPIÑAD´GARI120G(50)</t>
  </si>
  <si>
    <t>GELATINANARANJAD´GARI120G(50)</t>
  </si>
  <si>
    <t>GELATINALIMÓND´GARI120G(50)</t>
  </si>
  <si>
    <t>GELATINAFRESAD´GARI120G(50)</t>
  </si>
  <si>
    <t>GELATINANARANJAAJI-JELLY350GR(12)</t>
  </si>
  <si>
    <t>GELATINALIMONAJI-JELLY350GR(12)</t>
  </si>
  <si>
    <t>GELATINAUVAAJI-JELLY350GR(12)</t>
  </si>
  <si>
    <t>GELATINAFRESAAJI-JELLY350GR(12)</t>
  </si>
  <si>
    <t>GELATINAPIÑAAJI-JELLY350GR(12)</t>
  </si>
  <si>
    <t>HARINAPERLA907GR(10)</t>
  </si>
  <si>
    <t>HARINAINTEGRALPERLA907GR(10)</t>
  </si>
  <si>
    <t>HARINASELECTA1K(10)</t>
  </si>
  <si>
    <t>HARINAMASECA1K(10)</t>
  </si>
  <si>
    <t>HARINADEMAIZPARATAMALMASECA1K(10)</t>
  </si>
  <si>
    <t>HARINAP/PASTELCHTEDEVIDUNCAN432G(12</t>
  </si>
  <si>
    <t>-HARINAP/PASTELMANTEQDUNCAN432G(12)</t>
  </si>
  <si>
    <t>HARINAP/PASTELBLANCADUNCAN432G(12)</t>
  </si>
  <si>
    <t>HARINAAZULMASECA1K(10)</t>
  </si>
  <si>
    <t>HARINAP/PASTELREDVELVETDUNCAN432(12</t>
  </si>
  <si>
    <t>HARINAANTOJITOSMASECA1K(10)</t>
  </si>
  <si>
    <t>HARINAP/PASTELVAINILF,DUNCAN432G(12</t>
  </si>
  <si>
    <t>HARINAPERLAC/25K</t>
  </si>
  <si>
    <t>HARINADETRIGOHOJADEPLATA25K</t>
  </si>
  <si>
    <t>HARINADETRIGOESPIGACONPROTEINA10K</t>
  </si>
  <si>
    <t>-BEBIDAGATORADELIMA-LIMON500ML(24)</t>
  </si>
  <si>
    <t>BEBIDAGATORADENARANJA500ML(24)</t>
  </si>
  <si>
    <t>-BEBIDAGATORADEPONCHEDEFRUTA500ML(2</t>
  </si>
  <si>
    <t>BEBIDAGATORADEUVA500ML(24)</t>
  </si>
  <si>
    <t>SUEROCOCOELECTROLIT625ML(12)</t>
  </si>
  <si>
    <t>SUEROFRESAELECTROLIT625ML(12)</t>
  </si>
  <si>
    <t>SUEROMANZANAELECTROLIT625ML(12)</t>
  </si>
  <si>
    <t>SUEROUVAELECTROLIT625ML(12)</t>
  </si>
  <si>
    <t>-BEBIDAREDBULLC/4/250ML(6)</t>
  </si>
  <si>
    <t>SUERONARANJAMANDELECTROLIT625ML(12)</t>
  </si>
  <si>
    <t>SUEROLIMA-LIMONELECTROLIT625ML(12)</t>
  </si>
  <si>
    <t>-JUGONARANJACITRUSTAMPICO3.79L(6)</t>
  </si>
  <si>
    <t>-JUGONARANJACITRUSTAMPICO1L(16)</t>
  </si>
  <si>
    <t>#LECHECARNATION360ML(48)</t>
  </si>
  <si>
    <t>#CARNATIONLECHEEVAPORADA1KG(12)</t>
  </si>
  <si>
    <t>LECHEDECOCOCALAHUA330ML(12)</t>
  </si>
  <si>
    <t>LECHEDECOCOCALAHUA1L(6)</t>
  </si>
  <si>
    <t>LECHEDECOCOORGANICACALAHUA1L(6)</t>
  </si>
  <si>
    <t>LECHEDECOCOVAINILLACALAHUA1L(6)</t>
  </si>
  <si>
    <t>LECHEDECOCOALMENDRACALAHUA1L(6)</t>
  </si>
  <si>
    <t>-LECHEDESLACTOSADAALPURA1L(12)</t>
  </si>
  <si>
    <t>-PRODUCTOLACTEOVAIL1LTO(12)</t>
  </si>
  <si>
    <t>LECHESANMARCOSENTERA1L(12)</t>
  </si>
  <si>
    <t>LECHEDESLACTOSADAGRANJA1L(12)</t>
  </si>
  <si>
    <t>FORMULALACTEAUHTMASNUTRE1L(12)</t>
  </si>
  <si>
    <t>MANTECAVEGETALTAPATIA25K</t>
  </si>
  <si>
    <t>-MAYONESALIMONHEINZCUBETA13KG</t>
  </si>
  <si>
    <t>MAYONESAREGULARWILSEY3.78GR(4)</t>
  </si>
  <si>
    <t>#MAYONESACONLIMONMC390G(12)</t>
  </si>
  <si>
    <t>-MAYHELLREAL3.8K+MAYHELLREAL1.9K</t>
  </si>
  <si>
    <t>MERMELADAFRESAMUDENASC/140/20G</t>
  </si>
  <si>
    <t>MERMELADAZARZAMORABONLATTICUBETA5KG</t>
  </si>
  <si>
    <t>MERMELADADEPIÑABONLATTICUBETA5KG</t>
  </si>
  <si>
    <t>MERMELADADEFRESABONLATTICUBETA5KG</t>
  </si>
  <si>
    <t>-MERMELADACHABACANOCLEMENTE470G(12)</t>
  </si>
  <si>
    <t>CUBETAMERMELADAFRESANATURASOL4.5KG</t>
  </si>
  <si>
    <t>MIELDEABEJACIERVO1LTO(12)</t>
  </si>
  <si>
    <t>MIELDEABEJAMUDENASC/140/20GR</t>
  </si>
  <si>
    <t>CHOCOLATECHOCOMILK1.750GR.(6)</t>
  </si>
  <si>
    <t>MOLEGALA265GR(24)</t>
  </si>
  <si>
    <t>ACHIOTEANITA110GR.(50)</t>
  </si>
  <si>
    <t>ACHIOTEANITA1KG(12)</t>
  </si>
  <si>
    <t>#ACHIOTEPASTAELYUCATECO100GR(24)</t>
  </si>
  <si>
    <t>EMPANIZADORLAMODERNAC/2/5KG</t>
  </si>
  <si>
    <t>PANMOLIDOGOURMETPANKO9.07KG</t>
  </si>
  <si>
    <t>PASTAFIORDIP.FIDEOM.C/20/200G*</t>
  </si>
  <si>
    <t>PASTAFONTANELLAESTRELLAC/20/200G</t>
  </si>
  <si>
    <t>PASTALAMODERNAFIDEONO.2200GR(20)</t>
  </si>
  <si>
    <t>PASTALAMODERNACODOINTEGRALC/20/200G</t>
  </si>
  <si>
    <t>PASTALAMODERNAF.MEDINTEGRALC/20/200</t>
  </si>
  <si>
    <t>PASTALAMODERNASPAGHETTIINT.C/20/200</t>
  </si>
  <si>
    <t>PASTAFIORDIP.ALFABETO200GR(20)</t>
  </si>
  <si>
    <t>PASTAFIORDIP.CODO200GR(20)</t>
  </si>
  <si>
    <t>PASTAFIORDIP.CONCHA200GR(20)</t>
  </si>
  <si>
    <t>PASTAFIORDIP.FUSSILLI200GR(20)</t>
  </si>
  <si>
    <t>PASTAFIORDIP.MACARRON200GR(20)</t>
  </si>
  <si>
    <t>PASTAFIORDIP.PLUMA200GR(20)</t>
  </si>
  <si>
    <t>PASTAFIORDIP.SPAGHETTI200GR(20)</t>
  </si>
  <si>
    <t>PASTAFIORDIP.TALLARIN200GR(20)</t>
  </si>
  <si>
    <t>PASTAFONTANELLAALFABETOS200GR(20)</t>
  </si>
  <si>
    <t>PASTAFONTANELLAFIDEOMEDIANO200GR(20)</t>
  </si>
  <si>
    <t>-CODOC/QUESOMODERNA200GR(20)</t>
  </si>
  <si>
    <t>PASTAFETTUCCINEBARILLA4KG(3)</t>
  </si>
  <si>
    <t>PASTAYEMINAFIDEOMEDIANO4KG(3)</t>
  </si>
  <si>
    <t>PASTAYEMINASPAGHETTI4KG(3)</t>
  </si>
  <si>
    <t>SOPADESEÑASLAMODERNA200GR(20)</t>
  </si>
  <si>
    <t>LEVADURANEVADA450GR(20)</t>
  </si>
  <si>
    <t>-MEJORANTEDEPANDULCEPLUSPAN440GR(2</t>
  </si>
  <si>
    <t>PUREDEPAPAVERDEVALLE2KG</t>
  </si>
  <si>
    <t>PUREDEPAPAVERDEVALLE160GR(24)</t>
  </si>
  <si>
    <t>PASTATOMATEPRINSA*BOLSA*3KG(6)</t>
  </si>
  <si>
    <t>PASTAFIORDIP.ESTRELA200GR(20)</t>
  </si>
  <si>
    <t>QUESOCHEEZWHIZ235GR.(24)</t>
  </si>
  <si>
    <t>QUESOP/NACHOSRICOS3KG(6)</t>
  </si>
  <si>
    <t>Q.CHEDDARP/NACHOSGEHL'SPOUCH3KG(6)</t>
  </si>
  <si>
    <t>SALLAFINASALERO250GR.(16)</t>
  </si>
  <si>
    <t>SALLAFINABOTE1KG.(12)</t>
  </si>
  <si>
    <t>-SALLAFINAC/25/500GR</t>
  </si>
  <si>
    <t>-SALPALOMA500GR(40)</t>
  </si>
  <si>
    <t>SALPALOMA1KG(20)</t>
  </si>
  <si>
    <t>SALMARINOPORCC/3000/5GR</t>
  </si>
  <si>
    <t>SALMARDECORTESGRANULARPRAGNA1KG(8)</t>
  </si>
  <si>
    <t>SALMARDECORTESPRAGNA1.2KGBOTE(12)</t>
  </si>
  <si>
    <t>SALDEPSREFINADAYODADA25KG</t>
  </si>
  <si>
    <t>SALDEGRANOLAFINABOLSA1KG(18)</t>
  </si>
  <si>
    <t>SALDELAGGPORCC/3000/.5GR</t>
  </si>
  <si>
    <t>SALSALAGUACAMAYAHABANERA500/9ML</t>
  </si>
  <si>
    <t>SALSALOLTUNHABANERAROJA950ML(12)</t>
  </si>
  <si>
    <t>SALSALAGUACAMAYATRADICIONAL1LTO(12)</t>
  </si>
  <si>
    <t>SALSAROJAVALENTINA1LTO(12)</t>
  </si>
  <si>
    <t>SALSAROJAVALENTINA370ML(24)</t>
  </si>
  <si>
    <t>SALSASANLUIS1LTO(12)</t>
  </si>
  <si>
    <t>-SALSACHAMOYTORITO1LTO(12)</t>
  </si>
  <si>
    <t>SALSAPICANTEMARISCOSVALENTINA370M(24</t>
  </si>
  <si>
    <t>-SALSALOLTUNHABANERAROJA4KG(4)</t>
  </si>
  <si>
    <t>SALSALAGUACAMAYAHABANERA150ML(24)</t>
  </si>
  <si>
    <t>SALSALAGUACAMAYATRAD150ML(24)</t>
  </si>
  <si>
    <t>SALSALOLTUNHABANERAROJA150ML(24)</t>
  </si>
  <si>
    <t>SALSAHUICHOLPICANTE190ML(24)</t>
  </si>
  <si>
    <t>SALSADECHILESRIRACHA28OZ740ML(12)</t>
  </si>
  <si>
    <t>SALSAHUICHOLNEGRA190ML(24)</t>
  </si>
  <si>
    <t>SARDINAENTOMATEGUAYMEX425GR(24)</t>
  </si>
  <si>
    <t>-SARDINAPONTOACEI.SOYAPICA120GR(24)</t>
  </si>
  <si>
    <t>-SARDINAENACEITEGUAYMEX425GR(24)</t>
  </si>
  <si>
    <t>SAZONADORCAJUNPRAGNA690GR(12)</t>
  </si>
  <si>
    <t>SAZONFINASHIERBAS(ITAL)PRAGN275G(12)</t>
  </si>
  <si>
    <t>SAZONADORP/FAJITASPRAGNA885GR(12)</t>
  </si>
  <si>
    <t>-SAZONADORAJOYHIERBASPRAGNA734G(12</t>
  </si>
  <si>
    <t>-SOYATEXTURIZADA1KG(10)</t>
  </si>
  <si>
    <t>LENTEJANOR-VER500GR(20)</t>
  </si>
  <si>
    <t>-LENTEJAPAISA500GR(20)</t>
  </si>
  <si>
    <t>LENTEJAVERDEVALLE500GR(20)</t>
  </si>
  <si>
    <t>SAZONADORFLEMINGHOT1KG(15)</t>
  </si>
  <si>
    <t>-SOPAMARUCHANRES64GR(12)</t>
  </si>
  <si>
    <t>-SOPANISSINPOLLO12/64GR.</t>
  </si>
  <si>
    <t>-SOPANISSINRES12/64GR.</t>
  </si>
  <si>
    <t>TETWININGSMANZANILLAPURA20GR(12)</t>
  </si>
  <si>
    <t>CHAMPINONCHAMPIMEXREB.62ONZ.2.835GR(6)</t>
  </si>
  <si>
    <t>MAIZPOZOLEROELMEXICANO3KG(6)</t>
  </si>
  <si>
    <t>CHAMPIÑONREBANADOELMEXICANO2.8K</t>
  </si>
  <si>
    <t>CUARTOSDEALCACHOFASANMIGUEL900GR(12</t>
  </si>
  <si>
    <t>VINAGREBLANCOCIERVO1LTO(12)</t>
  </si>
  <si>
    <t>VINAGREBLANCOCIERVO4LTS(4)</t>
  </si>
  <si>
    <t>VINAGREMANZANACIERVO1LTO(12)</t>
  </si>
  <si>
    <t>VINAGREMANZANACIERVO4LTS(4)</t>
  </si>
  <si>
    <t>BANDERILLAPINGUINO15CM50PZ(200)</t>
  </si>
  <si>
    <t>CHOCOLATEM&amp;MCAFE226GRC/6(24)</t>
  </si>
  <si>
    <t>CHOCOLATESNICKERSC/6PZA.(32)</t>
  </si>
  <si>
    <t>CHOCOLATEMILKYWAYC/6PZA.(32)</t>
  </si>
  <si>
    <t>CHOCOLATEM&amp;MAMARILLO225GRC/6PZ(36)</t>
  </si>
  <si>
    <t>HERSHEY'SCOCOA5KG(2)</t>
  </si>
  <si>
    <t>HERSHEY'SSYRUPCHTE.589ML(24)</t>
  </si>
  <si>
    <t>HERSHEY'SCOCOA200GR(20)</t>
  </si>
  <si>
    <t>HERSHEY'SLIQUIDO3.4LTS.(4)</t>
  </si>
  <si>
    <t>BICARBONATOPROMESA220GR(50)</t>
  </si>
  <si>
    <t>FRESHGOURMETCROUTONCOR.454G(10</t>
  </si>
  <si>
    <t>GOLOSTAMARINDOBOKADOS490GR(14)</t>
  </si>
  <si>
    <t>-HUEVOSANJUANEMPLAYADOC/30PZS(10)</t>
  </si>
  <si>
    <t>BANDERILLATAMARBETAMEXVITROC/50PZ(6)</t>
  </si>
  <si>
    <t>BOCADINC/50/10.5GR(12)</t>
  </si>
  <si>
    <t>-CHOCOLATECARLOSVSUIZO16/18G(28)</t>
  </si>
  <si>
    <t>HERSHEY'SSYRUPFRESA589ML(6)</t>
  </si>
  <si>
    <t>-CROUTONESITALIANOMEMBERSM907GR</t>
  </si>
  <si>
    <t>BICARBONATOREXAL220GR(24)</t>
  </si>
  <si>
    <t>PAPELALUMINIOAHORRAMAS3KG(4)</t>
  </si>
  <si>
    <t>PAPELALUMINIOAHORRAMAS7MTS(24)</t>
  </si>
  <si>
    <t>ALUMINIO30X27SUPERIDEALC/150H(10)</t>
  </si>
  <si>
    <t>-GLADEHAWAIIANBREEZE400ML*(12)</t>
  </si>
  <si>
    <t>CONTENEDOR8X8DIVISIONLEONC/200PZA</t>
  </si>
  <si>
    <t>CONTENEDOR8X8LISOLEONC/200PZA</t>
  </si>
  <si>
    <t>CONTENEDOR9X9DIVISIONREYMAC/200PZA</t>
  </si>
  <si>
    <t>CONTENEDOR9X9LISOREYMAC/200</t>
  </si>
  <si>
    <t>CUCHARAFANTASYMEDC/25PZA(40)</t>
  </si>
  <si>
    <t>SOUFFLETRANSP.SOLO(S200)2OZ2500</t>
  </si>
  <si>
    <t>SOUFFLETRANSP4OZSOLOP400NC/2500</t>
  </si>
  <si>
    <t>SOUFFLETRANSPARENTEDART2OZ2500PZ</t>
  </si>
  <si>
    <t>VASOPLASTICONO.7REYMAC/50PZA(20)</t>
  </si>
  <si>
    <t>VASOPLASTICOREYMA#16C/25PZAS.(40)</t>
  </si>
  <si>
    <t>VASOTERMICO8OZ.DART8J8C/25PZS(40)</t>
  </si>
  <si>
    <t>TENEDORMEDIANOGARDUÑOC/25(40)</t>
  </si>
  <si>
    <t>TENEDORMEDIANOGARDUÑOC/2/500PZS</t>
  </si>
  <si>
    <t>CUCHARABLANCAMED#3GARDUÑOC/25(40)</t>
  </si>
  <si>
    <t>CUCHARAMEDIANAGARDUÑOC/2/500PZS</t>
  </si>
  <si>
    <t>CUCHILLO#3MEDIANOGARDUÑOC/25(40)</t>
  </si>
  <si>
    <t>CUCHILLO#3MEDIANOGARDUÑOC/2/500PZS</t>
  </si>
  <si>
    <t>VASOTERMICO10OZ.DART10J10C/25(40)</t>
  </si>
  <si>
    <t>VASOTERMICO12OZ.DART12J12C/25(40)</t>
  </si>
  <si>
    <t>TAZONTERMICO8OZ.DART8SJ20C/25(40)</t>
  </si>
  <si>
    <t>TAPAP/TAZONDART8OZ20JLC/100(10)</t>
  </si>
  <si>
    <t>CONTENEDOR7X7DIVISIONREYMAC/200PZAB</t>
  </si>
  <si>
    <t>DESENGRASANTEVARSSETGALON4LTS</t>
  </si>
  <si>
    <t>ACIDOMURIATEXALAMO1L(12)</t>
  </si>
  <si>
    <t>-DETERGENTEARIELOXIAZUL850GR.(10</t>
  </si>
  <si>
    <t>DETERGENTEARCOIRIS800GR(18)</t>
  </si>
  <si>
    <t>DETERGENTEARCOIRIS1/9KG.</t>
  </si>
  <si>
    <t>DETERGENTEFOCA1KG(10)</t>
  </si>
  <si>
    <t>DETERGENTEROMA250GR(40)</t>
  </si>
  <si>
    <t>DETERGENTEROMA500GR(20)</t>
  </si>
  <si>
    <t>DETERGENTEROMA1KG(10)</t>
  </si>
  <si>
    <t>DETERGENTEROMA10KG</t>
  </si>
  <si>
    <t>DETERGENTEBLANCANIEVES250GR(40)</t>
  </si>
  <si>
    <t>DETERGENTEBLANCANIEVES1KG(10)</t>
  </si>
  <si>
    <t>CLORO20LTSVARSSET*</t>
  </si>
  <si>
    <t>-DETER.SALVOPLUS250(48)</t>
  </si>
  <si>
    <t>DETER.SALVOPLUS500GR(20)</t>
  </si>
  <si>
    <t>-SALVOLIMONLIQ.900ML(12)</t>
  </si>
  <si>
    <t>DETERGENTEAXION720GR(18)</t>
  </si>
  <si>
    <t>LAVATRASTESLIMONVARSSETGALON4LTS</t>
  </si>
  <si>
    <t>ENCENDEDORTOKAIPZA.(25)</t>
  </si>
  <si>
    <t>-RAIDCASA/JARD400GRAEROSOL(12)</t>
  </si>
  <si>
    <t>-INSEC.BAYGONVERDEAEROSOL400ML(12)</t>
  </si>
  <si>
    <t>JABONZOTEBLANCO400GR.(25)</t>
  </si>
  <si>
    <t>-FIBRABLANCAP66S.B.146X92MM(72)</t>
  </si>
  <si>
    <t>FIBRAESPONJAP94SCOTCHBRITE(72)</t>
  </si>
  <si>
    <t>FIBRANEGRAP76PZA92MMX146MM(72)</t>
  </si>
  <si>
    <t>FIBRAVERDEP96PZA229X152MM(12/12)</t>
  </si>
  <si>
    <t>MALLAMETALICAPLUSBRITEJUMBO(50)</t>
  </si>
  <si>
    <t>ESCOBAEXTRAGRANDE(12)</t>
  </si>
  <si>
    <t>TRAPEADORALGODONNO.30HILOSUAVE(12)</t>
  </si>
  <si>
    <t>PAÑOMICROFIBRAAMARILLO40.6X40.6(36)</t>
  </si>
  <si>
    <t>-EASYOFFPASTA238GR(12)</t>
  </si>
  <si>
    <t>LIMPIAVIDRIOSMR.MUSCULO650ML(12)</t>
  </si>
  <si>
    <t>BOLSANEGRAP/BASURAGENE.90X1.201K(25)</t>
  </si>
  <si>
    <t>BOLSAPLASTICO40X60CALIB.300C/1KG(25)</t>
  </si>
  <si>
    <t>BOLSAPLASTICO40X60KG(25)</t>
  </si>
  <si>
    <t>BOLSAPLASTICO50X70C/1KG(25)</t>
  </si>
  <si>
    <t>PAPELENVOLTURA1KG(50)</t>
  </si>
  <si>
    <t>BOLSACAMISETAREYMAGDEBCA1KG(25)</t>
  </si>
  <si>
    <t>BOLSAP/BOLLOREYMA10X201KG(25)</t>
  </si>
  <si>
    <t>BOLSAP/BASURAANGUIPLAST50X70(25)</t>
  </si>
  <si>
    <t>BOLSATLANSPARENTEPLA-GON70X90(25)</t>
  </si>
  <si>
    <t>BOLSAP/BASURAANGUIPLAST90X1.20(25)</t>
  </si>
  <si>
    <t>BOLSAP/BASURANEGRAPLA-GON90X1.20(25)</t>
  </si>
  <si>
    <t>BOLSATRANSPARENTEPLA-GON90X1.20(25)</t>
  </si>
  <si>
    <t>BOLSATRANSP.REYMA90X1.20(25)</t>
  </si>
  <si>
    <t>BOLSACAMISETABIODEGRADABLEMED.1KG(25)</t>
  </si>
  <si>
    <t>BOLSACAMISETABIODEGRADABLEGDE.1KG(25)</t>
  </si>
  <si>
    <t>BOLSATRANSPARENTE60X901KG(25)</t>
  </si>
  <si>
    <t>BOLSAP/BASURANEGRAPLA-GON50X70(25)</t>
  </si>
  <si>
    <t>-VANISHREMOV.MANCHAS420ML.(12)</t>
  </si>
  <si>
    <t>TOALLAINTERDOBLADASPETALOC/20/150PZS</t>
  </si>
  <si>
    <t>-PAPELKLEENEXC/400H.S.ROLLO(80)</t>
  </si>
  <si>
    <t>PAPELHIGIENICOIRISC/4PZS160H(24)</t>
  </si>
  <si>
    <t>SERVILLETAKLEENEXELEGANC/100PZA.(12)</t>
  </si>
  <si>
    <t>SERVILLETAPETALOC/220HOJAS(24)</t>
  </si>
  <si>
    <t>SERVILLETAPETALOC/420HOJAS(12)</t>
  </si>
  <si>
    <t>SERVILLETAMAXC/450HOJAS(12)</t>
  </si>
  <si>
    <t>PALILLOMULTICHEFC/12/250PZS(24)</t>
  </si>
  <si>
    <t>PALILLOESTUCHADOPOLYKINGC/1000(12)</t>
  </si>
  <si>
    <t>PALILLOPICUDOSC/12250PZA(9)</t>
  </si>
  <si>
    <t>PALILLOESTUCHADOSOGAC/1000(48)</t>
  </si>
  <si>
    <t>JABONROSAVENUS100GR(60)</t>
  </si>
  <si>
    <t>JABONROSAVENUS150GR.(40)</t>
  </si>
  <si>
    <t>JABONZESTAQUA135GR(72)</t>
  </si>
  <si>
    <t>MANDILPOLIETILENODESECHABLEC/100(10)</t>
  </si>
  <si>
    <t>CUBREBOCAPLISADOTRIPEC/50PZAS</t>
  </si>
  <si>
    <t>TOALLITASDESINFECTANTESLYSOLC/80(BOTE</t>
  </si>
  <si>
    <t>GORRAESCAFANDRAC/100PZAS(10)</t>
  </si>
  <si>
    <t>SHAMPOOP/MANOSALMENDRASVARSSET4L</t>
  </si>
  <si>
    <t>CIGARROSMARLBOROROJOCJ.SUAVEC/20</t>
  </si>
  <si>
    <t>CIGARROSMARLBOROREDCAPS100C/20</t>
  </si>
  <si>
    <t>CIGARROSMARLBOROLIGTH100CAPSC/20</t>
  </si>
  <si>
    <t>-CERVEZATECATE355ML0.0%ALCOHOL(24)</t>
  </si>
  <si>
    <t>FRIJOLESRANCHSTYLE425G(24)</t>
  </si>
  <si>
    <t>ACEITEAVE800ML(12)</t>
  </si>
  <si>
    <t>CHILECHIPOTLEDELMONTE2.9K(6)</t>
  </si>
  <si>
    <t>SALSATIPOCATSUPDELMONTE3.8K(6)</t>
  </si>
  <si>
    <t>-PURETOMATENATURAL.DELMTE1LTO(12)</t>
  </si>
  <si>
    <t>AJOPICADODELMONTE283G(12)</t>
  </si>
  <si>
    <t>ACEITEAVE20LBIDON</t>
  </si>
  <si>
    <t>ACEITENUTRIOLI400ML(12)</t>
  </si>
  <si>
    <t>ACEITEACTIONFRYAVE10L(2)PET</t>
  </si>
  <si>
    <t>ACEITEMANTEQUILLAPAMSPRAY141G(12)</t>
  </si>
  <si>
    <t>ELOTEGRANODELMONTE2.9KG.(6)</t>
  </si>
  <si>
    <t>CHILECHIPOTLEDELMONTE205G(24)</t>
  </si>
  <si>
    <t>ELOTEGRANODELMONTE225GR(24)</t>
  </si>
  <si>
    <t>PASTALASAGNEBARILLA500GR(15)</t>
  </si>
  <si>
    <t>-MOSTAZAMC115GR(24)</t>
  </si>
  <si>
    <t>CLORALEX500MLMEDIANO(20)</t>
  </si>
  <si>
    <t>CLORALEX3.75LTSFAMILIAR(6)</t>
  </si>
  <si>
    <t>CHILECHIPOTLEDELMONTE400G(24)</t>
  </si>
  <si>
    <t>CLORALEX950ML(12)</t>
  </si>
  <si>
    <t>ACEITEAVE400ML(12)</t>
  </si>
  <si>
    <t>CLORALEX10LTSRENDIDOR</t>
  </si>
  <si>
    <t>ACEITENUTRIOLI890ML(12)</t>
  </si>
  <si>
    <t>PINOLAROMASLAVANDA828ML(12)</t>
  </si>
  <si>
    <t>SALSASOYAKIKOMAN148ML(12)</t>
  </si>
  <si>
    <t>PINOLAROMASFLORAL828ML(12)</t>
  </si>
  <si>
    <t>SALSAHUNT'STRADI.TETRA360*(24)</t>
  </si>
  <si>
    <t>SALSAHUNT'S4QUESOTETRA360*(24)</t>
  </si>
  <si>
    <t>SALSACATSUPDELMONTE220G(24)</t>
  </si>
  <si>
    <t>SALSABARBECUEHUNTSORIG.620GR.(12)</t>
  </si>
  <si>
    <t>SALSACATSUPDELMONTE320G(24)</t>
  </si>
  <si>
    <t>ELOTEGRANODELMONTE400GR(24)</t>
  </si>
  <si>
    <t>CHICHARODELMONTE200GR(24)</t>
  </si>
  <si>
    <t>ENSALADACAMPESINADELMONTE215GR(24)</t>
  </si>
  <si>
    <t>CHICHAROC/ZANAHORIADELMONTE215GR(24)</t>
  </si>
  <si>
    <t>CHICHAROC/ZANAHORIADELMONTE410GR(24)</t>
  </si>
  <si>
    <t>ENSALADACAMPESINADELMONTE400GR(24)</t>
  </si>
  <si>
    <t>ENSALADAVERDURASDELMONTE215GR(24)</t>
  </si>
  <si>
    <t>ENSALADAVERDURASDELMONTE400GR(24)</t>
  </si>
  <si>
    <t>CHICHARODELMONTE410GR(24)</t>
  </si>
  <si>
    <t>GARBANZODELMONTE400GR(24)</t>
  </si>
  <si>
    <t>ACEITEORIGINALPAMSPRAY170G(12)</t>
  </si>
  <si>
    <t>SALSASOYAKIKOMAN296ML(12)</t>
  </si>
  <si>
    <t>SALSATERIYAKIKIKOMAN296ML(12)</t>
  </si>
  <si>
    <t>SALSASOYAKIKOMAN1.89LTS(6)</t>
  </si>
  <si>
    <t>PINOL250ML.REGULAR(20)</t>
  </si>
  <si>
    <t>-SALSABUFALOTAMPICO60ML(24)</t>
  </si>
  <si>
    <t>PURETOMATEFUERTECOND.210G*(24)</t>
  </si>
  <si>
    <t>PURETOMATEFUERTECOND.BRICK345GR(24)</t>
  </si>
  <si>
    <t>SALSACHOLULA150ML(12)</t>
  </si>
  <si>
    <t>FRIJOLPINTOSALTILLOFRIJOLIN906G(10)</t>
  </si>
  <si>
    <t>FRIJOLNEGROFRIJOLIN906G(10)</t>
  </si>
  <si>
    <t>COCTELTOMATE/ALMEJACLAMATO473ML(12)</t>
  </si>
  <si>
    <t>COCTELTOMATE/ALMEJACLAMATO296ML(24)</t>
  </si>
  <si>
    <t>COCTELTOMATE/ALMEJACLAMATO946ML(12</t>
  </si>
  <si>
    <t>COCTELTOMATE/ALMEJACLAMATO1.89L(8)</t>
  </si>
  <si>
    <t>ACHIOTELIQUIDOBUENO250ML(20)</t>
  </si>
  <si>
    <t>AGUAQUINADATONICAPEÑAFIEL296ML(12)</t>
  </si>
  <si>
    <t>GARBANZOALFRESCO425GR(24)</t>
  </si>
  <si>
    <t>MAIZPOZOLEROALFRESCO822GR.(12)</t>
  </si>
  <si>
    <t>MAIZPOZOLEROALFRESCO425GR(24)</t>
  </si>
  <si>
    <t>NECTARMANGOJUMEX237ML(24)BRICK</t>
  </si>
  <si>
    <t>MAIZPOZOLEROALFRESCO3KG(6)</t>
  </si>
  <si>
    <t>MOLEBUENO10KG*TINA*</t>
  </si>
  <si>
    <t>MOLEBUENOROJO4KG*TINA*</t>
  </si>
  <si>
    <t>NECTARMANZANAJUMEX24/250MLBOTE</t>
  </si>
  <si>
    <t>NECTARMANGOJUMEX24/250MLBOTE</t>
  </si>
  <si>
    <t>NECTARDURAZNOJUMEX24/250MLBOTE</t>
  </si>
  <si>
    <t>JUGONARANJAC/PULPAUNICOFRESCO960(12)</t>
  </si>
  <si>
    <t>REXAL150GR.(50)</t>
  </si>
  <si>
    <t>REXAL500GR(24)</t>
  </si>
  <si>
    <t>JUGOARANDANOUNICOFRESCO960(12)</t>
  </si>
  <si>
    <t>MOLEBUENO245GR.(12)</t>
  </si>
  <si>
    <t>JUGOPIÑAJUMEX960ML(12)TETRA</t>
  </si>
  <si>
    <t>NECTARDURAZNOJUMEX960ML(12)TETRA</t>
  </si>
  <si>
    <t>NECTARMANGOJUMEX960ML(12)TETRA</t>
  </si>
  <si>
    <t>JUGONARANJAJUMEX960ML(12)TETRA</t>
  </si>
  <si>
    <t>-JUGOUVAJUMEX960ML(12)TETRA</t>
  </si>
  <si>
    <t>JUGOMANZANACLARI.JUMEX960ML(12)TETR</t>
  </si>
  <si>
    <t>JUGOTOMATEJUMEX960ML(12)TETRA</t>
  </si>
  <si>
    <t>NECTARMANZANAJUMEX0AZUCAR960ML(12)</t>
  </si>
  <si>
    <t>NECTARMANGOJUMEX0AZUCAR960ML(6)</t>
  </si>
  <si>
    <t>NECTARDURAZNOJUMEX0AZUCAR960ML(6)</t>
  </si>
  <si>
    <t>NECTARDURAZNOJUMEX237ML(24)BRICK</t>
  </si>
  <si>
    <t>NECTARMANZANAJUMEX237ML(24)BRICK</t>
  </si>
  <si>
    <t>LECHEDESLACTOSADALALA1L(12)</t>
  </si>
  <si>
    <t>LECHEDESLACTOSADALIGHTLALA1L(12)</t>
  </si>
  <si>
    <t>LECHELIGHTLALA1L(12)</t>
  </si>
  <si>
    <t>CEREALCHOCOKRISPISKELLOGG´S38G(50)</t>
  </si>
  <si>
    <t>-CEREALGOLOSINASKELLOGG´SC/50</t>
  </si>
  <si>
    <t>-CEREALBRANFLAKESKELLOGG´S35G(50)</t>
  </si>
  <si>
    <t>CEREALALLBRANKELLOGG´SORIGIN775G(20</t>
  </si>
  <si>
    <t>CEREALALLBRANKELLOGG´S465G(28)</t>
  </si>
  <si>
    <t>CEREALCORNFLAKESKELLOGG'S150G(28)</t>
  </si>
  <si>
    <t>CEREALCORNFLAKESKELLOGG'S385GR(10)</t>
  </si>
  <si>
    <t>CEREALCORNFLAKESKELLOGG´S25G(50)</t>
  </si>
  <si>
    <t>CEREALCORNPOPSKELLOGG´S30G(50)</t>
  </si>
  <si>
    <t>EMPANIZADORC.FLAKESKELL.350(36)</t>
  </si>
  <si>
    <t>CEREALFROOTLOOPSKELLOGG´S25G(50)</t>
  </si>
  <si>
    <t>CEREALZUCARITASKELLOGG´S30G(50)</t>
  </si>
  <si>
    <t>CEREALZUCARITASKELLOGG'S380G(21)</t>
  </si>
  <si>
    <t>SALSAKETCHUPHEINZC/1008/8G</t>
  </si>
  <si>
    <t>SALSAKETCHUPHEINZC/192/8G</t>
  </si>
  <si>
    <t>SALSABARBECUEABAL4LTS(4)</t>
  </si>
  <si>
    <t>MIELABEJAHEINZC/120/20G</t>
  </si>
  <si>
    <t>MOSTAZAHEINZC/500/5GR</t>
  </si>
  <si>
    <t>ADEREZOMAYONESAHEINZPORCIONC/200/8G</t>
  </si>
  <si>
    <t>CHILESECOQUEBRADOHEINZC/400/1GR*</t>
  </si>
  <si>
    <t>JARABEMIELMAPLEHEINZC/72/30G</t>
  </si>
  <si>
    <t>MERMELADAFRESAABAL/HEINZC/120/20G</t>
  </si>
  <si>
    <t>MOSTAZAHEINZC/200/5GR</t>
  </si>
  <si>
    <t>JUGO8VERDURASHERDEZ330ML(24)</t>
  </si>
  <si>
    <t>VAINILLAD'GARI1L(12)</t>
  </si>
  <si>
    <t>CARAMELOD´GARI1K(12)</t>
  </si>
  <si>
    <t>GELATINAAGUALIMOND'GARI720G(10)</t>
  </si>
  <si>
    <t>GELATINAAGUANARANJAD'GARI720G(10)</t>
  </si>
  <si>
    <t>GELATINAAGUAPIÑAD'GARI720G(10)</t>
  </si>
  <si>
    <t>GELATINAAGUAUVAD'GARI720G(10)</t>
  </si>
  <si>
    <t>GELATINAAGUADURAZNOD'GARI720G(10)</t>
  </si>
  <si>
    <t>CAJETAREALPOTOSI1200G(9)</t>
  </si>
  <si>
    <t>PASTILLASANITARIAFLASHB.MARINA72G(50</t>
  </si>
  <si>
    <t>PASTILLASANITARIAFLASHLAVANDA72G(50)</t>
  </si>
  <si>
    <t>MANTEQUILLALALASOLIDAENTERA90GR(4)</t>
  </si>
  <si>
    <t>ABLANDADORDECARNEPRAGNA1320G(12)</t>
  </si>
  <si>
    <t>CREMACOFFEMATEC/200/4G(6)PORCION</t>
  </si>
  <si>
    <t>SPLENDAC/700SOBRES</t>
  </si>
  <si>
    <t>CAFECLASICONESCAFE200G(12)</t>
  </si>
  <si>
    <t>CREMACOFFEMATE311G(12)</t>
  </si>
  <si>
    <t>SALSAINGLESAFRENCHS3.78L(4)</t>
  </si>
  <si>
    <t>CAFECLASICONESCAFE1KG(4)</t>
  </si>
  <si>
    <t>SALSAKETCHUPHEINZPOUCH3K(6)</t>
  </si>
  <si>
    <t>LECHECLAVEL360ML(48)</t>
  </si>
  <si>
    <t>-LECHECARNETION360ML(48)B9</t>
  </si>
  <si>
    <t>CAFEDECAF170G(12)</t>
  </si>
  <si>
    <t>CREMACOFFEMATE400G(12)</t>
  </si>
  <si>
    <t>CAFECLASICONESCAFE60G(12)</t>
  </si>
  <si>
    <t>CAFECLASICONESCAFE120G(12)</t>
  </si>
  <si>
    <t>CAFEDECAF120G(12)</t>
  </si>
  <si>
    <t>CAFEDECAF40G(12)</t>
  </si>
  <si>
    <t>CAFECLASICONESCAFE42G(16)</t>
  </si>
  <si>
    <t>-CONSOMATEC/8CUBOS(24)</t>
  </si>
  <si>
    <t>-CONSOMATEC/24PZA(12)TIRA</t>
  </si>
  <si>
    <t>-LECHENANNO.1320G(12)</t>
  </si>
  <si>
    <t>-LECHENANNO.2320G(12)</t>
  </si>
  <si>
    <t>SPLENDAC/2000/1G</t>
  </si>
  <si>
    <t>DULCEDELECHEELMANJARNESTLE4.5K(4)</t>
  </si>
  <si>
    <t>MEDIACREMANESTLE1L(12)</t>
  </si>
  <si>
    <t>SPLENDANATURALSCONSTEVIAC/400/1G</t>
  </si>
  <si>
    <t>MEDIACREMANESTLE225G(24)</t>
  </si>
  <si>
    <t>JUGOMAGGI100ML(24)</t>
  </si>
  <si>
    <t>SALSAINGLESAC/B145ML(24)</t>
  </si>
  <si>
    <t>SALSAINGLESACROSSE&amp;BLACWELL1.9L(4)</t>
  </si>
  <si>
    <t>JUGOMAGGI800ML(6)</t>
  </si>
  <si>
    <t>JUGOSAZONADORMAGGI1.9LTS(4)</t>
  </si>
  <si>
    <t>LECHELALECHERAGRANDE375GR(48)</t>
  </si>
  <si>
    <t>DULCEDELECHELALECHERA360G(24)</t>
  </si>
  <si>
    <t>LECHECLAVEL1KG(12)</t>
  </si>
  <si>
    <t>-LECHECLAVEL1KG(12)***</t>
  </si>
  <si>
    <t>SALSATABASCO60ML.(24)</t>
  </si>
  <si>
    <t>SALSAINGLESAC/B980ML(6)</t>
  </si>
  <si>
    <t>#JUGOMANZANABIDA500ML(12)</t>
  </si>
  <si>
    <t>CANELAMOLIDAMC220G(6)</t>
  </si>
  <si>
    <t>SALSAKETCHUPHEINZ397G14OZ(16)</t>
  </si>
  <si>
    <t>#SALSAKETCHUPHEINZ397G14OZ(16)</t>
  </si>
  <si>
    <t>-MEZCLADORMICHEMAGGI1.9LTS(4)</t>
  </si>
  <si>
    <t>SALSAKETCHUPHEINZ40OZ1.13K(12)</t>
  </si>
  <si>
    <t>#SALSAKETCHUPHEINZ40OZ1.13K(12)</t>
  </si>
  <si>
    <t>SALSAKETCHUPREDHEINZ397G14OZ(16)</t>
  </si>
  <si>
    <t>NESCAFEFRAPPEN1MX1.5KG(6)</t>
  </si>
  <si>
    <t>MAYONESAROYALHEINZC/500/8GPORCION</t>
  </si>
  <si>
    <t>-SALSAS.MAGGI1.9L+A.VERDEVALE1KG</t>
  </si>
  <si>
    <t>CAJETACORONADO594GR(12)</t>
  </si>
  <si>
    <t>SALSATABASCO355ML.(12)</t>
  </si>
  <si>
    <t>MAYONESAHEINZ390G(24)</t>
  </si>
  <si>
    <t>CONDIMIXPOLLO3.6K(6)</t>
  </si>
  <si>
    <t>MOSTAZAHELLMANS3.78KG(4)</t>
  </si>
  <si>
    <t>%MOSTAZAHELLMANS3.8KG(4)</t>
  </si>
  <si>
    <t>MOSTAZAHEINZ368GR13OZ(16)</t>
  </si>
  <si>
    <t>-MOSTAZAHEINZPOUCH3KG(4)</t>
  </si>
  <si>
    <t>QUESOPARMESANOKRAFT2.04KG(4)</t>
  </si>
  <si>
    <t>SALSAA1STEAKSAUSE5OZ.142G(24)</t>
  </si>
  <si>
    <t>SALSAA1STEAKHOUSE10OZ.283ML(12)</t>
  </si>
  <si>
    <t>FRIJOLPERUANOVERDEVALLE900G(20)</t>
  </si>
  <si>
    <t>PRODUCTOLACTEONUTRILECHELALA1L(12)</t>
  </si>
  <si>
    <t>ARROZINTEGRALVERDEVALLE900G(20)</t>
  </si>
  <si>
    <t>MOLEDOÑAMARIA235GR.(24)</t>
  </si>
  <si>
    <t>PINOL828ML+2PINOLAROMA500ML(12)B9</t>
  </si>
  <si>
    <t>CAJETAREALPOTOSI5KTINA</t>
  </si>
  <si>
    <t>EFICAZLIMON750ML(12)</t>
  </si>
  <si>
    <t>PASTAYEMINACODOLISO4KG(3)</t>
  </si>
  <si>
    <t>MOLEDOÑAMARIAVERDE230GR(24)</t>
  </si>
  <si>
    <t>MOLEDOÑAMARIA430GR.(12)</t>
  </si>
  <si>
    <t>-BARRAAVENA/MIELNATVALLEY210G/10(12</t>
  </si>
  <si>
    <t>PASTAFUSILLIBARILLA1KG(8)</t>
  </si>
  <si>
    <t>PINOLLAVANDA828ML10+2(12)B9</t>
  </si>
  <si>
    <t>-ACIDOMURIATEXALAMO420ML.(24)</t>
  </si>
  <si>
    <t>-ACIDOMURIATEXALAMO750ML(15)</t>
  </si>
  <si>
    <t>-POTASAALAMO230GR(12)</t>
  </si>
  <si>
    <t>HARINAP/PASTELCHOCOFUDGEBETTYC.375G</t>
  </si>
  <si>
    <t>HARINAP/PASTELCHOC.DEVILBETTYC.375GR</t>
  </si>
  <si>
    <t>HARINAP/PASTELCHOC/REDVELVETBETTY375</t>
  </si>
  <si>
    <t>HARINAP/PASTELVAINILLAFRAN.BETTY375G</t>
  </si>
  <si>
    <t>HARINAP/PASTELVAINILLAGOLDENBETTY</t>
  </si>
  <si>
    <t>-HARINAP/PASTELAMARILLOBETTY375G(12)</t>
  </si>
  <si>
    <t>HARINAP/BROWNIESFUDGEBETTYC.462GR</t>
  </si>
  <si>
    <t>AD.MAYCONCHIPOTLEMC310G(12)</t>
  </si>
  <si>
    <t>CAJETAREALPOTOSI660G(12)SQUEEZE</t>
  </si>
  <si>
    <t>PURETOMATEFUERTECOND.BRICK1KG(12)</t>
  </si>
  <si>
    <t>PURETOMATEFUERTENATURAL1KGTETR(12)</t>
  </si>
  <si>
    <t>-PURETOMATEFUERTECOND.2.9KG*BOLSA*(6</t>
  </si>
  <si>
    <t>PURETOMATEFUERTENATURAL2.9KBOLSA(6)</t>
  </si>
  <si>
    <t>ACEITENUTRIOLI800ML(12)</t>
  </si>
  <si>
    <t>SALSAP/PIZZADELFUERTE3KG(6)</t>
  </si>
  <si>
    <t>PASTATOMATEFUERTE*BOLSA*3KG(4)</t>
  </si>
  <si>
    <t>COCTELTOMATE/ALMEJAKERMATO1.80L(8)FR</t>
  </si>
  <si>
    <t>COCTELTOMATE/ALMEJAKERMATO950ML(12)</t>
  </si>
  <si>
    <t>CAJETAREALPOTOSI640G(12)</t>
  </si>
  <si>
    <t>SALSADELAVIUDAPICANTE150ML(12)</t>
  </si>
  <si>
    <t>-HARINAHOTCAKESBETTYC.700GR(10)</t>
  </si>
  <si>
    <t>ARROZNILO500GR(10)</t>
  </si>
  <si>
    <t>ARROZSUPEREXTRANILO906GR(10)</t>
  </si>
  <si>
    <t>CHILEJALAPEÑOCOSTEÑA2.8K(6)</t>
  </si>
  <si>
    <t>CHILERAJASCOSTEÑA2.8K(6)</t>
  </si>
  <si>
    <t>CHILECHIPOTLEADOBADOCOSTEÑA2.8K(6)</t>
  </si>
  <si>
    <t>C.CHIPOTLEADOBADOS.MIGUEL2.85KPCH6</t>
  </si>
  <si>
    <t>PUREDETOMATECOSTEÑALATA2.95KG(6)</t>
  </si>
  <si>
    <t>FRIJOLESBAYOSREFRITOSSIERRA580G(12)</t>
  </si>
  <si>
    <t>CHILENACHOSCOSTEÑA2.8K(6)</t>
  </si>
  <si>
    <t>GELATINAAGUAPIÑACARTED'OR600G(12)</t>
  </si>
  <si>
    <t>GELATINAAGUALIMONCARTED'OR600G(12)</t>
  </si>
  <si>
    <t>%GELATINAAGUALIMONCARTED'OR600G(12)</t>
  </si>
  <si>
    <t>GELATINALECHEVAINILLACARTED'OR600(12</t>
  </si>
  <si>
    <t>%GELATINALECHEVAINILLACARTED'OR600(1</t>
  </si>
  <si>
    <t>GELATINAAGUAFRESACARTED'OR600G(12</t>
  </si>
  <si>
    <t>%GELATINAAGUAFRESACARTED'OR600G(12</t>
  </si>
  <si>
    <t>GELATINAAGUANARANJACARTED'OR600G(12)</t>
  </si>
  <si>
    <t>GELATINAAGUAUVACARTED'OR600G(12)</t>
  </si>
  <si>
    <t>VINAGREDECAÑACOSTEÑA3.75LT(4)</t>
  </si>
  <si>
    <t>FLANVAINILLACARTED'OR700G(12)</t>
  </si>
  <si>
    <t>%FLANVAINILLACARTED'OR700G(12)</t>
  </si>
  <si>
    <t>PELICULAPVCREYNOLDSC/CORT600MX45CM</t>
  </si>
  <si>
    <t>FRIJOLESCLAROSMOLIDOSSIERRA440G(24)</t>
  </si>
  <si>
    <t>ACIDOELSULTAN900ML(15)</t>
  </si>
  <si>
    <t>ACEITEOLIVAE.VCARBONELL750ML(6)</t>
  </si>
  <si>
    <t>ACEITEOLIVAE.VCARBONELL250ML(12)</t>
  </si>
  <si>
    <t>CHAMPINONREBANADOHERDEZ2800GR(6)</t>
  </si>
  <si>
    <t>CHAMPINONREBA.HERDEZ186GR(24)</t>
  </si>
  <si>
    <t>CHAMPINONREBAN.HERDEZ380GR*(24)</t>
  </si>
  <si>
    <t>CHAMPINONREBANADOHERDEZ800GR(12)</t>
  </si>
  <si>
    <t>DURAZNOMITADCOSTEÑA3K(6)</t>
  </si>
  <si>
    <t>FLANLALAVAINILLA100GR(8)</t>
  </si>
  <si>
    <t>CHICHAROHERDEZ2.9KG(6)</t>
  </si>
  <si>
    <t>CHICHAROHERDEZ400GR(24)</t>
  </si>
  <si>
    <t>CHICHAROC/ZANAHORIAHERDEZ400*(24</t>
  </si>
  <si>
    <t>ELOTEENGRANOHERDEZ2.9KG(6)</t>
  </si>
  <si>
    <t>ELOTEGRANOHERDEZ400GR(24)</t>
  </si>
  <si>
    <t>GARBANZOSHERDEZ400GR(24)</t>
  </si>
  <si>
    <t>ELOTEGRANOBLANCOHDEZ220GR(24)</t>
  </si>
  <si>
    <t>LECHEULTRAPREMIUMENTERALALA1L(12)</t>
  </si>
  <si>
    <t>FRIJOLESENTEROBAYOSSIERRA560G(12)</t>
  </si>
  <si>
    <t>-SALSAVERDEDELPRIMO300GR(24)B9</t>
  </si>
  <si>
    <t>SALSAHABANERAROJAMPRIMO300GR(24)B9</t>
  </si>
  <si>
    <t>SALSAHABANERAVERDEPRIMO300GR(24)B9</t>
  </si>
  <si>
    <t>PASTATORNILLO/FUSILLIBARILLA500G(12)</t>
  </si>
  <si>
    <t>ARROZIMPEGABLEVERDEVALLE750G(22)</t>
  </si>
  <si>
    <t>SALSAROJADELPRIMO300GR(24)B9</t>
  </si>
  <si>
    <t>SALSATLAQUERAPRIMO300GR(24)B9</t>
  </si>
  <si>
    <t>ACEITEOLIVACARBONELL500ML(12)VIDRIO</t>
  </si>
  <si>
    <t>ACEITEOLIVAE.VCARBONELL500M(12VIDRIO</t>
  </si>
  <si>
    <t>SALSAHERDEZCASERAROJA210GR(48)</t>
  </si>
  <si>
    <t>ACEITEOLIVAPUROCARBONELL5L(3)PET</t>
  </si>
  <si>
    <t>SALSAHERDEZVERDE210GR(48)</t>
  </si>
  <si>
    <t>-REFRESCODESABOR600MLPET</t>
  </si>
  <si>
    <t>ACEITEOLIVAE.VCARBONELL2L(6)PET</t>
  </si>
  <si>
    <t>ACEITEOLIVACARBONELL950ML(12)LATA</t>
  </si>
  <si>
    <t>ACEITECANOLA+OLIVACARBONELL850M(12)</t>
  </si>
  <si>
    <t>ACEITEOLIVACARBONELL450ML(12)LATA</t>
  </si>
  <si>
    <t>PASTATOMATEBOLSACOSTEÑA3K*(4)</t>
  </si>
  <si>
    <t>CHILEJALAPEÑOENTEROHERDEZ2.7K(6)</t>
  </si>
  <si>
    <t>PUREDETOMATECOSTEÑABOLSA3KG(4)</t>
  </si>
  <si>
    <t>ARROZVERDEVALLE1K(10)</t>
  </si>
  <si>
    <t>GALLETASSALADASTRESESTRELLAS200/12G</t>
  </si>
  <si>
    <t>-GALLETASHABANERAINTEGGAMESA468(12)</t>
  </si>
  <si>
    <t>AVENACONCEREAL3MIN.380GBOLSA(36)</t>
  </si>
  <si>
    <t>-GALLETASSALADASGAMESA22/140G</t>
  </si>
  <si>
    <t>GALLETASMARIASGAMESA20/177G</t>
  </si>
  <si>
    <t>GALLETASARCOIRISGAMESA670G(10)</t>
  </si>
  <si>
    <t>GALLETASSALADASGAMESA200/12G</t>
  </si>
  <si>
    <t>-GALLETASSALADAS504GRC/42(12)</t>
  </si>
  <si>
    <t>GALLETASMARIASGAMESA850G(12)</t>
  </si>
  <si>
    <t>GALLETASSALADASGAMESA1.232K</t>
  </si>
  <si>
    <t>GRANOLA3MINUTOS370GR(14)</t>
  </si>
  <si>
    <t>AVENAQUAKER475G(12)</t>
  </si>
  <si>
    <t>AVENACONCEREAL3MIN.400GBOTE(36)</t>
  </si>
  <si>
    <t>GALLETASEMPERADORCOMBINADO382G(12)</t>
  </si>
  <si>
    <t>-GALLETASEMPERADORCHOCOLATE16/91G</t>
  </si>
  <si>
    <t>-GALLETASEMPERADORNUEZ16/91G</t>
  </si>
  <si>
    <t>GALLETASCHOCOLATEEMPERADOR424G(12)</t>
  </si>
  <si>
    <t>GALLETASSURTIDORICOGAMESA424GR(12)</t>
  </si>
  <si>
    <t>HARINAHOTCAKESGAMESA800G(10)</t>
  </si>
  <si>
    <t>GALLETASMARAVILLASGAMESA504G(12)</t>
  </si>
  <si>
    <t>GALLETASBARRADECOCOGAMESA490G(8)</t>
  </si>
  <si>
    <t>CREMACACAHUATEALADINO340G(12)</t>
  </si>
  <si>
    <t>ACEITECAPULLO3.7L(4)</t>
  </si>
  <si>
    <t>MANTECAINCA1K(12)</t>
  </si>
  <si>
    <t>MANTECAINCA24KCUÑETE</t>
  </si>
  <si>
    <t>MANTECAINCA250G(48)</t>
  </si>
  <si>
    <t>MANTECAINCA500G(24)</t>
  </si>
  <si>
    <t>MIELKAROMAPLE3.6LTS(4)</t>
  </si>
  <si>
    <t>MIELKAROMAPLE510ML(12)*</t>
  </si>
  <si>
    <t>MIELKAROMAPLE255ML(24)*</t>
  </si>
  <si>
    <t>MIELKAROBEBE/CRISTAL500ML(12)</t>
  </si>
  <si>
    <t>MIELKAROVAINILLA510ML(12)</t>
  </si>
  <si>
    <t>MERMELADAFRESASMUCKERS510G(12)</t>
  </si>
  <si>
    <t>MERMELADAFRESASMUCKERSS/A365G(8)</t>
  </si>
  <si>
    <t>TETWININGSDESAYUNOINGLES/25/2GR(12)</t>
  </si>
  <si>
    <t>PINOL500ML.MEDIANO(20)</t>
  </si>
  <si>
    <t>ACEITECAPULLO755ML(12)</t>
  </si>
  <si>
    <t>PINOL1LTOGRANDE(15)</t>
  </si>
  <si>
    <t>PINOL2LTSGIGANTE(8)</t>
  </si>
  <si>
    <t>PINOL3.785LTSFAMILIAR(6)</t>
  </si>
  <si>
    <t>FRIJOLESPERUANOSREFRITISADORA430G(24</t>
  </si>
  <si>
    <t>CHILENACHOSCOSTEÑA800G(12)</t>
  </si>
  <si>
    <t>FRIJOLESBAYOSREFRITOSISADORA430G(24)</t>
  </si>
  <si>
    <t>ADEREZOVINAGREBALSAMICOCARBONELL275G</t>
  </si>
  <si>
    <t>VINAGREVINOTINTOCARBONELL250ML(6)</t>
  </si>
  <si>
    <t>VINAGREBALSAMICOCARBONELL250ML(6)</t>
  </si>
  <si>
    <t>VINAGREVINOBLANCOCARBONELL250ML(6)</t>
  </si>
  <si>
    <t>VINAGREJEREZCARBONELL250ML(6)</t>
  </si>
  <si>
    <t>DURAZNOMITADCOSTEÑA820G(12)</t>
  </si>
  <si>
    <t>PIÑAREBANADACOSTEÑA820G(12)</t>
  </si>
  <si>
    <t>MANGOREBANADOCOSTEÑA820G(12)</t>
  </si>
  <si>
    <t>COCTELDEFRUTASCOSTEÑA850G(12)</t>
  </si>
  <si>
    <t>ATEGUAYABACOSTEÑA700G(12)</t>
  </si>
  <si>
    <t>ATEMEMBRILLOCOSTEÑA700G(12)</t>
  </si>
  <si>
    <t>-PINOL9LTSORIGINAL</t>
  </si>
  <si>
    <t>SALSAGUACAMOLEPRIMO300GR(24)B9</t>
  </si>
  <si>
    <t>PERASMITADCOSTEÑA820G(12)</t>
  </si>
  <si>
    <t>PINOL828MLECONOMICO(15)</t>
  </si>
  <si>
    <t>SALSAKNORRDEMIGLACE4KG.CUBETA(2)</t>
  </si>
  <si>
    <t>%SALSADEMIGLACE4KG.CUBETA(2)</t>
  </si>
  <si>
    <t>SALSABECHAMELKNORR4KG.(2)</t>
  </si>
  <si>
    <t>%SALSABECHAMELKNORR4KG.(2)</t>
  </si>
  <si>
    <t>GUAYABAENTERACOSTEÑA820G(12)</t>
  </si>
  <si>
    <t>MOSTAZAMC210GR.(24)</t>
  </si>
  <si>
    <t>MOSTAZAMC430GR(12)</t>
  </si>
  <si>
    <t>ADEREZOHELLMANN'S3.98KG(4)</t>
  </si>
  <si>
    <t>MOSTAZAMC.CORMIC3.85KG(4)</t>
  </si>
  <si>
    <t>MERMELADAFRESAMC450G(12)</t>
  </si>
  <si>
    <t>#MERMELADAFRESAMC450G(12)</t>
  </si>
  <si>
    <t>#MERMELADAPIÑAMC450G(12)</t>
  </si>
  <si>
    <t>MERMELADAFRESAMC270G(24)</t>
  </si>
  <si>
    <t>MERMELADAFRESAMC980G(12)</t>
  </si>
  <si>
    <t>CHILEJALAPEÑOCOSTEÑA780G(12)</t>
  </si>
  <si>
    <t>CHILERAJASCOSTEÑA800G(12)</t>
  </si>
  <si>
    <t>CURRYPOLVOMC51G(12)</t>
  </si>
  <si>
    <t>AJOENPOLVOMC77G(12)</t>
  </si>
  <si>
    <t>CEBOLLAENPOLVOMC70G(12)</t>
  </si>
  <si>
    <t>NUEZMOSCADAMC60G(12)</t>
  </si>
  <si>
    <t>PIMIENTACONLIMONMC75G(12)</t>
  </si>
  <si>
    <t>SALCONAPIOMC104G(12)</t>
  </si>
  <si>
    <t>CANELAMOLIDAMC63G(12)</t>
  </si>
  <si>
    <t>-ALUBIACHICAVERDEVALLE500GR(20)</t>
  </si>
  <si>
    <t>TENEGROMCC/25PZA(24)</t>
  </si>
  <si>
    <t>TEMANZANILLAMC.PTE.C/100PZA(10)</t>
  </si>
  <si>
    <t>TEMANZANILLAMCC/25PZA(24)</t>
  </si>
  <si>
    <t>TEMANZANILLAMCC/50PZS(24)</t>
  </si>
  <si>
    <t>TECANELA/MANZANAMCC/25PZA(24)</t>
  </si>
  <si>
    <t>TEVERDEMC.CORMICC/25PZS(24)</t>
  </si>
  <si>
    <t>SALLAFINA1KG(20)</t>
  </si>
  <si>
    <t>AJOGRANULADOGOURMETLAND650G(6)</t>
  </si>
  <si>
    <t>-CANELAMOLIDAGOURMETLAND600GR(6)</t>
  </si>
  <si>
    <t>PAPRIKAGOURMETLAND600GR(6)</t>
  </si>
  <si>
    <t>-PIMIENTAC/LIMONGOURMETLAND900GR(6)</t>
  </si>
  <si>
    <t>-PIMIENTANEGRAGRAN.GOURMETLAND500GR(6</t>
  </si>
  <si>
    <t>-PIMIENTOROJOTRIT.GOURMETLAND400G(6)</t>
  </si>
  <si>
    <t>-PIMIENTAMOLIDAGOURMETLAND550G(6)</t>
  </si>
  <si>
    <t>CHILEJALAPEÑOCOSTEÑA380G(24)</t>
  </si>
  <si>
    <t>ATUNENACEITEANCLA120G(48)</t>
  </si>
  <si>
    <t>ATUNENACEITETUNY1880G(6)</t>
  </si>
  <si>
    <t>ATUNENAGUATUNY1880G(6)</t>
  </si>
  <si>
    <t>ATUNENAGUAANCLA120G(48)</t>
  </si>
  <si>
    <t>ATUNENAGUACONACEITETUNY130G(48)</t>
  </si>
  <si>
    <t>ATUNENAGUATUNY130G(48)</t>
  </si>
  <si>
    <t>CHILERAJASCOSTEÑA380G(24)</t>
  </si>
  <si>
    <t>CLORALEX500ML+1ENSUEÑO450ML(12)B9</t>
  </si>
  <si>
    <t>FLASHLAVANDA1LTO(12)</t>
  </si>
  <si>
    <t>FLASHBRISAMARINA1LTO(12)</t>
  </si>
  <si>
    <t>MAYONESACONLIMONMC725G(12)</t>
  </si>
  <si>
    <t>#MAYONESAC/LIMONMC725G(12)</t>
  </si>
  <si>
    <t>-MAYONESACONLIMONMC190G(24)</t>
  </si>
  <si>
    <t>#MAYONESACONLIMONMC190G(24)</t>
  </si>
  <si>
    <t>MAYONESACONLIMONMC390G(12)</t>
  </si>
  <si>
    <t>MAYONESAMC3.4K(4)</t>
  </si>
  <si>
    <t>MAYONESACONLIMONMC13KG</t>
  </si>
  <si>
    <t>CLORALEX950ML+1PINOLAROMA500ML(12)B9</t>
  </si>
  <si>
    <t>GARBANZOVERDEVALLEBOLSA500GR.(20)</t>
  </si>
  <si>
    <t>FRIJOLESRANCHCOSTEÑA410G(12)</t>
  </si>
  <si>
    <t>CHILELARGOSESCABECHECOSTEÑA380G(12)</t>
  </si>
  <si>
    <t>FRIJOLESBAYOSREFRITOSCOSTEÑA580G(12</t>
  </si>
  <si>
    <t>FRIJOLESNEGROSENTEROSCOSTEÑA560G(12</t>
  </si>
  <si>
    <t>SAZONADORMCTIPOITALIANO177GR*(6</t>
  </si>
  <si>
    <t>PAPRIKAPIMENTONMC510G(6)</t>
  </si>
  <si>
    <t>SALCONAJOMC1.16G(6)</t>
  </si>
  <si>
    <t>PEREJILPICADOMC56G(6)</t>
  </si>
  <si>
    <t>SAZONADORP/CARNEMONTREALMC822G(6)</t>
  </si>
  <si>
    <t>CHILEROJOTRITURADOMC368G(6)</t>
  </si>
  <si>
    <t>AJOENPOLVOMC595G(6)</t>
  </si>
  <si>
    <t>PIMIENTANEGRAMOLIDAMESAMC510G(6)</t>
  </si>
  <si>
    <t>PIMIENTANEGRAMOLIDOGRUESAMC453G(6)</t>
  </si>
  <si>
    <t>FRIJOLESBAYOSENTEROSCOSTEÑA560G(12)</t>
  </si>
  <si>
    <t>FRIJOLESNEGROSREFRITOSCOSTEÑA580G(12</t>
  </si>
  <si>
    <t>SALSAREDHOTORIGINAL3.78L(4)</t>
  </si>
  <si>
    <t>MOSTAZADIJONS.Q.FRENCHS340G(8)</t>
  </si>
  <si>
    <t>SALSAREDHOTWINGSALITAS3.78L(4)</t>
  </si>
  <si>
    <t>SALSAMOLCAJROJAPRIMO300GR(24)B9</t>
  </si>
  <si>
    <t>PUREMANZANACOSTEÑA465G(12)</t>
  </si>
  <si>
    <t>CHILECHIPOTLEADOBADOCOSTEÑA380G(24)</t>
  </si>
  <si>
    <t>SALSACHILECHIPOTLECHONITA350GR(24)</t>
  </si>
  <si>
    <t>CEREZAC/TALLODIANA1.150KG(6)</t>
  </si>
  <si>
    <t>CHILEJALAPEÑOCOSTEÑA220G(48)</t>
  </si>
  <si>
    <t>CHILECHIPOTLEADOBADOCOSTEÑA220G(24)</t>
  </si>
  <si>
    <t>ACEITUNADESHUESADACORINA900G(6)</t>
  </si>
  <si>
    <t>CHILERAJASCOSTEÑA220G(48)</t>
  </si>
  <si>
    <t>CARNEMOLIDAKNORR25K</t>
  </si>
  <si>
    <t>%CARNEMOLIDAKNORR25K</t>
  </si>
  <si>
    <t>MOLEDOÑAMARIA10KG*TINA*</t>
  </si>
  <si>
    <t>CHILEPIMIENTOMORRONCOSTEÑA200G(24)</t>
  </si>
  <si>
    <t>MOLEDOÑAMARIAROJO4KG*TINA*</t>
  </si>
  <si>
    <t>CHILECHIPOTLEHERDEZ2.75K(6)</t>
  </si>
  <si>
    <t>ADEREZOMAYONESAMC13KG</t>
  </si>
  <si>
    <t>FRESHGOURMETCROUTON2.5LB(4</t>
  </si>
  <si>
    <t>CLORALEX250MLREGULAR(30)</t>
  </si>
  <si>
    <t>PEPINILLOREBSANMIGUEL3.940KG(4)</t>
  </si>
  <si>
    <t>CHILEPIMIENTOMORRONSANMIGUEL185G(24</t>
  </si>
  <si>
    <t>CHILEPIMIENTOMORRONSANMIGUEL420G(12</t>
  </si>
  <si>
    <t>FLORDECALABAZAS.MIGUEL780G(12)</t>
  </si>
  <si>
    <t>ESPARRAGOSBLANCOSSANMIGUEL530GR(12)</t>
  </si>
  <si>
    <t>CORAZONESALCACHOFASANMIGUEL400GR(12)</t>
  </si>
  <si>
    <t>ALCACHOFACORAZONSANMIGUEL2.500(6)</t>
  </si>
  <si>
    <t>ALCACHOFACORAZONS.MIGUELPOUCH3KG(6)</t>
  </si>
  <si>
    <t>ELOTITOTIERNOS.MIGUEL220GR*(24)</t>
  </si>
  <si>
    <t>ELOTITOTIERNOSANMIGUEL425GR(12)</t>
  </si>
  <si>
    <t>ACEITUNADESHUESADASANMIGUEL950G(12</t>
  </si>
  <si>
    <t>-ELOTITOTIERNOSANMIGUEL2.950KG(6)</t>
  </si>
  <si>
    <t>PALMITOENTEROS.MIGUEL800G(12)</t>
  </si>
  <si>
    <t>PALMITOENTEROS.MIGUEL420G(12)</t>
  </si>
  <si>
    <t>TOMATEENT.PELADOS.MIGUEL3.0KPOUCH(6)</t>
  </si>
  <si>
    <t>VINAGREBALSAMICOMOD.SANMIGUEL500M(12</t>
  </si>
  <si>
    <t>-PEPINILLOREBSANMIGUEL780GR(12)</t>
  </si>
  <si>
    <t>PALMITOMITADESS.MIGUEL400G(12)</t>
  </si>
  <si>
    <t>CUITLACOCHESANMIGUEL420GR(12)</t>
  </si>
  <si>
    <t>TOMATEDESHIDRATADOSANMIGUEL340GR(12</t>
  </si>
  <si>
    <t>TOMATEDESHIDRATADOS.MIGUEL907GR</t>
  </si>
  <si>
    <t>MANDARINASANMIGUEL425G(24)</t>
  </si>
  <si>
    <t>LICHISENALMIBARSANMIGUEL567G(24)</t>
  </si>
  <si>
    <t>ARROZARBORIOSANMIGUEL500GR(12)</t>
  </si>
  <si>
    <t>-ARROZBASMATISANMIGUEL500GR(12)</t>
  </si>
  <si>
    <t>VINOBNCNAC.CALIFORNIWHITEWINE1L(12)</t>
  </si>
  <si>
    <t>CHILECHIPOTLECOSTEÑA105G(40)</t>
  </si>
  <si>
    <t>CLORALEX2LTSGIGANTE(8)</t>
  </si>
  <si>
    <t>-ADEREZODEMAYONESAC/LIMONHELL3.5KG(4</t>
  </si>
  <si>
    <t>%ADEREZODEMAYONESAC/LIMONHELL3.5KG</t>
  </si>
  <si>
    <t>KNORRCONDIMIXPOLLO1K(10)</t>
  </si>
  <si>
    <t>-MAYONESABOLSAC/VALVHELLMANNS3K(4)</t>
  </si>
  <si>
    <t>-KNORRPOLLO3.5K+KNORRPOLLO1.5KG</t>
  </si>
  <si>
    <t>-KNORRBASESALSAROJA500GR(6)</t>
  </si>
  <si>
    <t>-KETCHUPBOLSAC/VALVHELLMANS3KG(4)</t>
  </si>
  <si>
    <t>MICRODYNGOTERO15ML(60)</t>
  </si>
  <si>
    <t>MICRODYN1LTO(20)</t>
  </si>
  <si>
    <t>-CHILERAJASHERDEZ2.8K(6)</t>
  </si>
  <si>
    <t>MAYONESAHELLMANN'S13KGTINA</t>
  </si>
  <si>
    <t>%MAYONESAHELLMANN'S13KGTINA</t>
  </si>
  <si>
    <t>MAYONESAHELLMANN´S3.8K(4)</t>
  </si>
  <si>
    <t>%MAYONESAHELLMANN´S3.8K(4)</t>
  </si>
  <si>
    <t>ADEREZOCESARHELLMANN´S3.8KG(4)EC</t>
  </si>
  <si>
    <t>%ADEREZOCESARHELLMANN´S3.8KG(4)EC</t>
  </si>
  <si>
    <t>MAYONESAHELLMANNSREAL1.9K(4)</t>
  </si>
  <si>
    <t>KNORRSUIZAC/24TIRA(12)</t>
  </si>
  <si>
    <t>-KNORRBASEDETOMATEDESHIDRATADO500G</t>
  </si>
  <si>
    <t>SOPAKNORRESTRELLITAS2/6/95GR</t>
  </si>
  <si>
    <t>MAYONESAIBERIACOCINEROS3.8K(4)</t>
  </si>
  <si>
    <t>HARINAHOTCAKESCARTED'OR5K</t>
  </si>
  <si>
    <t>%HARINAHOTCAKESCARTED'OR5K</t>
  </si>
  <si>
    <t>KNORRSUIZA100G(24)</t>
  </si>
  <si>
    <t>KNORRTOMATE100G(24)</t>
  </si>
  <si>
    <t>PUREPAPAKNORR3KG(4)</t>
  </si>
  <si>
    <t>%PUREPAPAKNORR3KG(4)</t>
  </si>
  <si>
    <t>PUREPAPAKNORR800GR.(6)</t>
  </si>
  <si>
    <t>%PUREPAPAKNORR800GR.(6)</t>
  </si>
  <si>
    <t>ADEREZOMILISLASHELLMANN´S3.8KG(4)</t>
  </si>
  <si>
    <t>ADEREZORANCHHELLMANN´S3.8KG(4)EC</t>
  </si>
  <si>
    <t>%ADEREZORANCHHELLMANN´S3.7L(4)EC</t>
  </si>
  <si>
    <t>ADEREZORANCHHELLMANN´S3.7KG(4)</t>
  </si>
  <si>
    <t>%ADEREZORANCHHELLMANN´S3.7K(4)</t>
  </si>
  <si>
    <t>ADEREZOBLUECHEESEHELLMANN´S3.8KG(4)</t>
  </si>
  <si>
    <t>%ADEREZOBLUECHEESEHELLMANN´S3.8KG(4</t>
  </si>
  <si>
    <t>KNORRSUIZA13KCUBETA</t>
  </si>
  <si>
    <t>%KNORRSUIZA13KCUBETA</t>
  </si>
  <si>
    <t>KNORRSUIZA3.5K(6)</t>
  </si>
  <si>
    <t>%KNORRSUIZA3.5K(6)</t>
  </si>
  <si>
    <t>SOPAKNORRESTRELLA24/95GR.</t>
  </si>
  <si>
    <t>SOPAKNORRFIDEO/POLLOC/2/6/95GR</t>
  </si>
  <si>
    <t>SOPAKNORRLETRAC/2/6/95GR.</t>
  </si>
  <si>
    <t>SOPAKNORRFIDEOC/2/6/95GR.</t>
  </si>
  <si>
    <t>-KNORRTOMATISIMOC/24CUBOS(12)</t>
  </si>
  <si>
    <t>MAYONESALIGHTHELLMANN´S395G(12)</t>
  </si>
  <si>
    <t>KNORRCONSOMEDERES1.6K(6)</t>
  </si>
  <si>
    <t>%KNORRCONSOMEDERES1.6K(6)</t>
  </si>
  <si>
    <t>SALSADEMIGLACEGOURMETKNORR1.2KG(6)</t>
  </si>
  <si>
    <t>KNORRCAPEADOR1.100K(6)BOTE</t>
  </si>
  <si>
    <t>ADEREZOCESARHELLMANN´S3.8KG(4)</t>
  </si>
  <si>
    <t>ARROZC/LECHECARTEDOR575GR(12</t>
  </si>
  <si>
    <t>-KNORRCALDODEPOLLOC/8CUBOS(105)</t>
  </si>
  <si>
    <t>MAIZENASABORNUEZ47GR(144)</t>
  </si>
  <si>
    <t>MAIZENASABORFRESA47GR(144)</t>
  </si>
  <si>
    <t>MAIZENASABORVAINILLA47GR(144)</t>
  </si>
  <si>
    <t>MAIZENASABORCHOCOLATE45GR(144)</t>
  </si>
  <si>
    <t>MAIZENA160G(96)</t>
  </si>
  <si>
    <t>MAIZENA425G(40)</t>
  </si>
  <si>
    <t>-MAIZENA95G(150)</t>
  </si>
  <si>
    <t>MAIZENA750G(24)</t>
  </si>
  <si>
    <t>-MAYONESAHELLMAN´S105G(24)PET</t>
  </si>
  <si>
    <t>MAYONESAHELLMANN´S390G(12)PET</t>
  </si>
  <si>
    <t>PASTAFIDEO2BARILLAC/40/200GR*</t>
  </si>
  <si>
    <t>PASTASPAGHETTI#7BARILLA500GR(25)</t>
  </si>
  <si>
    <t>PASTASPAGHETTI#5BARILLA500G(25)</t>
  </si>
  <si>
    <t>PASTASPAGHETTIMEDIANOBARILLA1KG(12)</t>
  </si>
  <si>
    <t>PASTACODO4BARILLA500GR(12)</t>
  </si>
  <si>
    <t>PASTABAVETTEBARILLA500GR(25)</t>
  </si>
  <si>
    <t>PASTACAPELINNINO.1BARILLA500GR(25)</t>
  </si>
  <si>
    <t>PASTAFETTUCCINEBARILLA500GRS(25)</t>
  </si>
  <si>
    <t>PASTAPENNE/PLUMABARILLA4KG(3)</t>
  </si>
  <si>
    <t>KNORRCALDOCOSTILLAC/8CUBOS(24)</t>
  </si>
  <si>
    <t>ADEREZOQUESOHELLMAN'S1L(12)</t>
  </si>
  <si>
    <t>%ADEREZOQUESOHELLMAN'S1L(12)</t>
  </si>
  <si>
    <t>KNORRCALDOCAMARON1.6K(6)</t>
  </si>
  <si>
    <t>%KNORRCALDOCAMARON1.6K(6)</t>
  </si>
  <si>
    <t>KNORRTOMATE3.6K(6)</t>
  </si>
  <si>
    <t>%KNORRTOMATE3.6K(6)</t>
  </si>
  <si>
    <t>-KNORRTOMATEC/24CUBOS(12)</t>
  </si>
  <si>
    <t>ADEREZOCESARCLEMENTE237ML(12)</t>
  </si>
  <si>
    <t>ADEREZOCESARCLEMENTE710ML(6)</t>
  </si>
  <si>
    <t>ADEREZOITALIANOCLEMENTE237ML(12)</t>
  </si>
  <si>
    <t>ADEREZOITALIANOCLEMENTE710ML(6)</t>
  </si>
  <si>
    <t>ADEREZOMILISLASCLEMENTE237GR(12)</t>
  </si>
  <si>
    <t>-ADEREZOMILISLASCLEMENTE710GR(6)</t>
  </si>
  <si>
    <t>ADEREZORANCHCLEMENTE237GR(12)</t>
  </si>
  <si>
    <t>PASTAFONTANELLASPAGHETTI200GR(20)</t>
  </si>
  <si>
    <t>CHICHAROCLEMENTEJACQUES420GR(24)</t>
  </si>
  <si>
    <t>ELOTEGRANOCLEMENTE410GR(24)</t>
  </si>
  <si>
    <t>SALSACATSUPCLEMENTE3.1K(6)</t>
  </si>
  <si>
    <t>GRENETINAD'GARI28GR(18)</t>
  </si>
  <si>
    <t>ALCOHOLSOLIDOALCOSOL250ML*(100)</t>
  </si>
  <si>
    <t>VINAGREBLANCOCLEMENTEJACKS3.7LTO(4)</t>
  </si>
  <si>
    <t>VINAGREMANZANACLEMENTE3.7L(4</t>
  </si>
  <si>
    <t>-SALSASOYAREGKIKOMAN15.1LTS</t>
  </si>
  <si>
    <t>BETUNVAINILLA/CREAMYBETTYC.453GR(8)</t>
  </si>
  <si>
    <t>PASTAPENNE/PLUMABARILLA500G(14)</t>
  </si>
  <si>
    <t>GELATINAPIÑAJELLOLIGHT25G(40)SOBRE</t>
  </si>
  <si>
    <t>GELATINALIMONJELLOLIGHT25G(40)SOBRE</t>
  </si>
  <si>
    <t>GELATINADURAZNOJELLOLIGHT25G(40SOBR</t>
  </si>
  <si>
    <t>GELATINAFRESAJELLOLIGHT25G(40)SOBRE</t>
  </si>
  <si>
    <t>TANGFRESARED8/13G(12)</t>
  </si>
  <si>
    <t>GELATINAFRESAJELLO25G(40)</t>
  </si>
  <si>
    <t>GELATINALIMONJELLO25G(40)</t>
  </si>
  <si>
    <t>GELATINAUVAJELLO25G(40)</t>
  </si>
  <si>
    <t>GELATINAPIÑAJELLO25G(40)</t>
  </si>
  <si>
    <t>GELATINADURAZNOJELLO25G(40)</t>
  </si>
  <si>
    <t>GELATINAMANGOJELLO25G(40)</t>
  </si>
  <si>
    <t>-GALLETASRITZC/12/.89G</t>
  </si>
  <si>
    <t>FLANCONCARAMELOJELLO35G(36)</t>
  </si>
  <si>
    <t>PASTAYEMINAALFABETOS200GR(24)</t>
  </si>
  <si>
    <t>PASTAYEMINASEMILLAMELON200GR(24)</t>
  </si>
  <si>
    <t>PASTAYEMINAFIDEOMED.200GR(24)</t>
  </si>
  <si>
    <t>PASTAYEMINAFIDEOCAMBRAY200GR(24)</t>
  </si>
  <si>
    <t>PASTAYEMINACODONO.1200GR(24)</t>
  </si>
  <si>
    <t>PASTAYEMINACODONO.2200GR(24)</t>
  </si>
  <si>
    <t>PASTAYEMINACONCHANO.1200GR(24)</t>
  </si>
  <si>
    <t>PASTAYEMINAPLUMILLAN.1200GR(24)</t>
  </si>
  <si>
    <t>PASTAYEMINACORBATA200GR(24)</t>
  </si>
  <si>
    <t>PASTAYEMINASPAGUETTI200GR(24)</t>
  </si>
  <si>
    <t>PASTAYEMINAMACARRON200GR(24)</t>
  </si>
  <si>
    <t>PASTATALLARINYEMINA200GR(24)</t>
  </si>
  <si>
    <t>PASTAYEMINAESTRELLANO.1200GR(24)</t>
  </si>
  <si>
    <t>PIÑAREBANADACLEMENTEJACQUES800G(12)</t>
  </si>
  <si>
    <t>PIÑAREBANADADIANA800G(12)</t>
  </si>
  <si>
    <t>PASTAFONTANELLACODO200GR(20)</t>
  </si>
  <si>
    <t>-REFRESCOCOCACOLAORIGINAL600ML(12)</t>
  </si>
  <si>
    <t>FRIJOLPINTOVERDEVALLE1K(20)</t>
  </si>
  <si>
    <t>CAFESOLUBLEINTERNACIONAL50G(12)</t>
  </si>
  <si>
    <t>CAFESOLUBLEINTERNACIONAL100GR(12)</t>
  </si>
  <si>
    <t>CREMACHAMPIÑONESCAMPBELL'S300G(24)</t>
  </si>
  <si>
    <t>CREMAELOTECAMPBELL'S310G(24)</t>
  </si>
  <si>
    <t>ATUNHOJUELAAGUAS/SOYATUNY130G(48)</t>
  </si>
  <si>
    <t>CREMAESPARRAGOSCAMPBELL'S300G(24)</t>
  </si>
  <si>
    <t>CREMACHILEPOBLANOCAMPBELL'S300G(24)</t>
  </si>
  <si>
    <t>SALSAPREGOCAMPBELL'S680GR(12)</t>
  </si>
  <si>
    <t>EMPANIZADORKNORR5KG*BULTO*</t>
  </si>
  <si>
    <t>%EMPANIZADORKNORR5KG*BULTO*</t>
  </si>
  <si>
    <t>SOPAKNORRARROZBLANCO3KG(4)</t>
  </si>
  <si>
    <t>SOPAKNORRARROZROJO3KG(4)</t>
  </si>
  <si>
    <t>FRIJOLESBAYOSREFRITODESHIDKNORR3K(4</t>
  </si>
  <si>
    <t>CONDIMIXTOMATE14KBULTO</t>
  </si>
  <si>
    <t>CONDIMIXPOLLO14KBULTO</t>
  </si>
  <si>
    <t>%CONDIMIXPOLLO14KBULTO</t>
  </si>
  <si>
    <t>MIELDEABEJACARLOTA1KG(12)</t>
  </si>
  <si>
    <t>-LECHEENTERAENPOLVOCEREVITA35KG</t>
  </si>
  <si>
    <t>LECHELALECHERANESTLE11K</t>
  </si>
  <si>
    <t>CAFEDECAFSTICKC/50/2G(18)EXHIBI</t>
  </si>
  <si>
    <t>CAFECLASICOSTICKNESCAFEC/50/2G(18)</t>
  </si>
  <si>
    <t>CHOCOLATEABUELITAC/6/90G(24)EXAG</t>
  </si>
  <si>
    <t>NESQUICKCHOCOLATE400GR.(24)</t>
  </si>
  <si>
    <t>TELIMONMC.C/25PZA(24)</t>
  </si>
  <si>
    <t>TEHIERBABUENAMC.C/25PZA(24)</t>
  </si>
  <si>
    <t>LECHELALECHERANESTLE25.5K</t>
  </si>
  <si>
    <t>CAJETAQUEMADACORONADO5K</t>
  </si>
  <si>
    <t>ACEITUNADESHUESADABUFALO175G(24)BOLSA</t>
  </si>
  <si>
    <t>PAPELHIG.JRMARLIC/12/180MTS</t>
  </si>
  <si>
    <t>PAPELHIGIENICOJUMBOMARLIC/6/360MTS</t>
  </si>
  <si>
    <t>SERVILLETABCAMARLIC/450HOJAS(12)</t>
  </si>
  <si>
    <t>SERVILLETAINTERDOBLADAPETALO24/250H</t>
  </si>
  <si>
    <t>TOALLAINTERDOBLADASSANITASC/20/100PZS</t>
  </si>
  <si>
    <t>TOALLAENROLLOMARLI6/180MKRAFT-CAFE</t>
  </si>
  <si>
    <t>TOALLAENROLLOMARLI6/180MTSBLANCA</t>
  </si>
  <si>
    <t>SALSABUFALOROJA150GR(24)</t>
  </si>
  <si>
    <t>SALSABUFALOCLASICA990GR(12)</t>
  </si>
  <si>
    <t>-MAYONESAHELLMANN´S190G(24)PET</t>
  </si>
  <si>
    <t>JUGOCAMPBELL'SV-8340ML(24)LATA</t>
  </si>
  <si>
    <t>SALSATATEMADAYMARTAJADAR.240GR(12)</t>
  </si>
  <si>
    <t>SALSATATEMADAYMARTAJADAV.240GR(12)</t>
  </si>
  <si>
    <t>AZUCARREFMETCOC/1000/4GPORCION</t>
  </si>
  <si>
    <t>ELOTEENGRANOASTRA2.84KG(6)</t>
  </si>
  <si>
    <t>VINAGREMANZANAASTRA5LTS(4)</t>
  </si>
  <si>
    <t>ACEITUNANEGRAREBANADAASTRA3K(6)</t>
  </si>
  <si>
    <t>GUANTELATEXINTERPLASTMED.C/100(10)</t>
  </si>
  <si>
    <t>GUANTEDESHEC.INTERPLASTGDE.C/100(10</t>
  </si>
  <si>
    <t>MANGOENREBANADASCORINA820G(12)</t>
  </si>
  <si>
    <t>-CHILESNACHOSGENERICO3KG(6)</t>
  </si>
  <si>
    <t>SUAVITELECOPACKAZUL850ML(12)</t>
  </si>
  <si>
    <t>LAVATRASTESAXIONLIQ.LIMON400M(12)</t>
  </si>
  <si>
    <t>DETERGENTEAXION250GR(48)</t>
  </si>
  <si>
    <t>-FABULOSOMARFRESCO500ML(24)</t>
  </si>
  <si>
    <t>FABULOSOLAVANDA1L(12)</t>
  </si>
  <si>
    <t>#FABULOSOLAVANDA1L(12)</t>
  </si>
  <si>
    <t>FABULOSOMARFRESCO1LTO*(12</t>
  </si>
  <si>
    <t>#FABULOSOMARFRESCO1LTO*(12</t>
  </si>
  <si>
    <t>FABULOSOPASIONDEFRUTAS1LT*(12)</t>
  </si>
  <si>
    <t>#FABULOSOPASIONDEFRUTAS1LT(12)</t>
  </si>
  <si>
    <t>FABULOSOFRESCOAMANECER1LTO(12)</t>
  </si>
  <si>
    <t>#FABULOSOFRESCOAMANECER1LTO(12)</t>
  </si>
  <si>
    <t>FABULOSOENERGIANARANJA1LTO(12</t>
  </si>
  <si>
    <t>#FABULOSOENERGIANARANJA1LTO(12</t>
  </si>
  <si>
    <t>#FABULOSOALTERNATIVACLORO1LTO(12)</t>
  </si>
  <si>
    <t>AJAXLIQ.C/AMONIA1LTO(12)</t>
  </si>
  <si>
    <t>FABULOSOLAVANDA5LTS(3)</t>
  </si>
  <si>
    <t>TELAMAGITELC/5PZA(48)</t>
  </si>
  <si>
    <t>VELROSITA1LTO(12)</t>
  </si>
  <si>
    <t>-AJAXBICLOROGRANDE388GR(48)</t>
  </si>
  <si>
    <t>CREMACOLGATE100ML(72)</t>
  </si>
  <si>
    <t>CHILENACHOSELMEXICANO2.8KG(6)</t>
  </si>
  <si>
    <t>QUESOCHEDARP/NACHOSGEHL'S3KG</t>
  </si>
  <si>
    <t>CHILORIODECERDOLACHATA215GR(14)</t>
  </si>
  <si>
    <t>AZUCARMASCABADOMETCO1KG(20)</t>
  </si>
  <si>
    <t>AZUCARMASCABADOMETCOC/50/4GR(12)</t>
  </si>
  <si>
    <t>AZUCARMASCABADOMETCO1.4KG(12)</t>
  </si>
  <si>
    <t>-ADEREZOMAYONESAMEGA3.65K(6)</t>
  </si>
  <si>
    <t>ADEREZOMAYONESASTARVALUE3.52K(6)</t>
  </si>
  <si>
    <t>SALSATIPOCATSUPMEGASUPREMA4.5K(6)</t>
  </si>
  <si>
    <t>SALSACATSUPSTARVALUE3.72K(6)</t>
  </si>
  <si>
    <t>-CATSUPMEGAALIMENTOS204/8GR(6)PORC</t>
  </si>
  <si>
    <t>MAYONESAMEGASUPREMA3.57K(6)</t>
  </si>
  <si>
    <t>MAYONESASTARVALUEBAJAGRASA3.45K(6)</t>
  </si>
  <si>
    <t>MOSTAZAMEGA3.85KG(6)</t>
  </si>
  <si>
    <t>MOSTAZASTARVALUE3.7KG(6)</t>
  </si>
  <si>
    <t>SALSACHAMOYMEGA1LTO(12)</t>
  </si>
  <si>
    <t>SALSACHAMOYMEGA4LTS(6)</t>
  </si>
  <si>
    <t>SAZONADORMANTEQUIL.C/SALPRAGNA900G(12</t>
  </si>
  <si>
    <t>PIMIENTACONLIMONPRAGNA393GR(6)</t>
  </si>
  <si>
    <t>SALDELHIMALAYAMOLIDAPRAGNA500(6)</t>
  </si>
  <si>
    <t>SAZONADORDEAJOYHIERBASPRAGNA246G(6</t>
  </si>
  <si>
    <t>PIMIENTANEGRAENTERAPRAGNA170GR(12)</t>
  </si>
  <si>
    <t>SALSABOTANERAROJA1LTO(12)</t>
  </si>
  <si>
    <t>SALSABOTANERAROJA500ML(24)</t>
  </si>
  <si>
    <t>SALSABOTANERAROJA4LTS(6)</t>
  </si>
  <si>
    <t>SALSABOTANERAPORCC/840/10GRS</t>
  </si>
  <si>
    <t>SALSALABOTANERAMUYPICANTE4L(6)</t>
  </si>
  <si>
    <t>SALSABOTANERAMUYPICANTE370ML(12)</t>
  </si>
  <si>
    <t>SALSAENPOLVOTAJIN907GR(6)</t>
  </si>
  <si>
    <t>SALSAENPOLVOTAJIN142G(12)</t>
  </si>
  <si>
    <t>SALSAENPOLVOTAJIN400G(12)</t>
  </si>
  <si>
    <t>VINAGREMANZANALAANITA3.785L(4)</t>
  </si>
  <si>
    <t>ACEITUNAC/ANCHOASCARBONELL340G(12)</t>
  </si>
  <si>
    <t>ALCAPARRASCARBONELL100GR(12)</t>
  </si>
  <si>
    <t>ACEITUNANEGRAREBANADACARBONELL3K(6)</t>
  </si>
  <si>
    <t>ACEITUNAC/HUESOCARBONELL350G(12)</t>
  </si>
  <si>
    <t>ACEITUNAC/PIMIENTOCARBONELL350G(12)</t>
  </si>
  <si>
    <t>ALCAPARRASCARBONELL350GR(12)</t>
  </si>
  <si>
    <t>ACEITUNANEGRAS/HUESOCARBONELL340G(12</t>
  </si>
  <si>
    <t>ACEITUNAS/HUESOCARBONELL140G5CYL(12)</t>
  </si>
  <si>
    <t>-ACEITUNAS/HUESOCARBONELL180G(12)DOY</t>
  </si>
  <si>
    <t>Descripcion Sin espacios</t>
  </si>
  <si>
    <t>Participación venta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</si>
</sst>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8"/>
  <sheetViews>
    <sheetView tabSelected="1" zoomScale="160" zoomScaleNormal="160" workbookViewId="0">
      <selection activeCell="C17" sqref="C17"/>
    </sheetView>
  </sheetViews>
  <sheetFormatPr baseColWidth="10" defaultRowHeight="14.4" x14ac:dyDescent="0.3"/>
  <cols>
    <col min="2" max="2" width="40.33203125" customWidth="1"/>
    <col min="5" max="5" width="15.6640625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2359</v>
      </c>
      <c r="E1" s="1" t="s">
        <v>2360</v>
      </c>
      <c r="F1" s="1" t="s">
        <v>2361</v>
      </c>
      <c r="G1" s="1" t="s">
        <v>3539</v>
      </c>
      <c r="H1" s="1" t="s">
        <v>3540</v>
      </c>
    </row>
    <row r="2" spans="1:8" x14ac:dyDescent="0.3">
      <c r="A2" t="s">
        <v>1530</v>
      </c>
      <c r="B2" t="s">
        <v>1531</v>
      </c>
      <c r="C2">
        <v>1</v>
      </c>
      <c r="D2" t="str">
        <f t="shared" ref="D2:D65" si="0">IFERROR(VALUE(IFERROR(
    MID(G2,FIND("(",G2)+1,FIND(")",G2)-FIND("(",G2)-1),
    IFERROR(
        MID(G2,FIND("(",G2)+1,LEN(G2)-FIND("(",G2)),
        ""
    )
)),"")</f>
        <v/>
      </c>
      <c r="E2" t="str">
        <f t="shared" ref="E2:E65" si="1">IFERROR(VALUE(MID(SUBSTITUTE(G2," ",""),
FIND("/",SUBSTITUTE(G2," ",""))+1,
MIN(IFERROR(FIND("PZS",SUBSTITUTE(G2," ","")),999),
    IFERROR(FIND("PZA",SUBSTITUTE(G2," ","")),999))
-FIND("/",SUBSTITUTE(G2," ",""))-1)),"")</f>
        <v/>
      </c>
      <c r="F2" t="str">
        <f t="shared" ref="F2:F21" si="2">SUBSTITUTE(UPPER(CLEAN(B2))," ","")</f>
        <v>GALLETASSALADASGAMESA200/12G</v>
      </c>
      <c r="G2" t="s">
        <v>3125</v>
      </c>
      <c r="H2" s="2">
        <v>3.451858169122627E-2</v>
      </c>
    </row>
    <row r="3" spans="1:8" x14ac:dyDescent="0.3">
      <c r="A3" t="s">
        <v>1899</v>
      </c>
      <c r="B3" t="s">
        <v>1900</v>
      </c>
      <c r="C3">
        <v>1</v>
      </c>
      <c r="D3" t="str">
        <f t="shared" si="0"/>
        <v/>
      </c>
      <c r="E3" t="str">
        <f t="shared" si="1"/>
        <v/>
      </c>
      <c r="F3" t="str">
        <f t="shared" si="2"/>
        <v>MAYONESAHELLMANN'S13KGTINA</v>
      </c>
      <c r="G3" t="s">
        <v>3309</v>
      </c>
      <c r="H3" s="2">
        <v>2.6521873769799791E-2</v>
      </c>
    </row>
    <row r="4" spans="1:8" x14ac:dyDescent="0.3">
      <c r="A4" t="s">
        <v>67</v>
      </c>
      <c r="B4" t="s">
        <v>68</v>
      </c>
      <c r="C4">
        <v>1</v>
      </c>
      <c r="D4" t="str">
        <f t="shared" si="0"/>
        <v/>
      </c>
      <c r="E4" t="str">
        <f t="shared" si="1"/>
        <v/>
      </c>
      <c r="F4" t="str">
        <f t="shared" si="2"/>
        <v>ACEITECRISTAL20LBIDON</v>
      </c>
      <c r="G4" t="s">
        <v>2394</v>
      </c>
      <c r="H4" s="2">
        <v>2.5541384405721925E-2</v>
      </c>
    </row>
    <row r="5" spans="1:8" x14ac:dyDescent="0.3">
      <c r="A5" t="s">
        <v>145</v>
      </c>
      <c r="B5" t="s">
        <v>146</v>
      </c>
      <c r="C5">
        <v>12</v>
      </c>
      <c r="D5">
        <f t="shared" si="0"/>
        <v>12</v>
      </c>
      <c r="E5" t="str">
        <f t="shared" si="1"/>
        <v/>
      </c>
      <c r="F5" t="str">
        <f t="shared" si="2"/>
        <v>CREMADECOCOCALAHUA1L(12)TETRA</v>
      </c>
      <c r="G5" t="s">
        <v>2433</v>
      </c>
      <c r="H5" s="2">
        <v>2.1869651098826399E-2</v>
      </c>
    </row>
    <row r="6" spans="1:8" x14ac:dyDescent="0.3">
      <c r="A6" t="s">
        <v>2033</v>
      </c>
      <c r="B6" t="s">
        <v>2034</v>
      </c>
      <c r="C6">
        <v>6</v>
      </c>
      <c r="D6">
        <f t="shared" si="0"/>
        <v>6</v>
      </c>
      <c r="E6" t="str">
        <f t="shared" si="1"/>
        <v/>
      </c>
      <c r="F6" t="str">
        <f t="shared" si="2"/>
        <v>KNORRTOMATE3.6K(6)</v>
      </c>
      <c r="G6" t="s">
        <v>3376</v>
      </c>
      <c r="H6" s="2">
        <v>1.9898904777928109E-2</v>
      </c>
    </row>
    <row r="7" spans="1:8" x14ac:dyDescent="0.3">
      <c r="A7" t="s">
        <v>1903</v>
      </c>
      <c r="B7" t="s">
        <v>1904</v>
      </c>
      <c r="C7">
        <v>4</v>
      </c>
      <c r="D7">
        <f t="shared" si="0"/>
        <v>4</v>
      </c>
      <c r="E7" t="str">
        <f t="shared" si="1"/>
        <v/>
      </c>
      <c r="F7" t="str">
        <f t="shared" si="2"/>
        <v>MAYONESAHELLMANN´S3.8K(4)</v>
      </c>
      <c r="G7" t="s">
        <v>3311</v>
      </c>
      <c r="H7" s="2">
        <v>1.9050424607244331E-2</v>
      </c>
    </row>
    <row r="8" spans="1:8" x14ac:dyDescent="0.3">
      <c r="A8" t="s">
        <v>977</v>
      </c>
      <c r="B8" t="s">
        <v>978</v>
      </c>
      <c r="C8">
        <v>6</v>
      </c>
      <c r="D8">
        <f t="shared" si="0"/>
        <v>6</v>
      </c>
      <c r="E8" t="str">
        <f t="shared" si="1"/>
        <v/>
      </c>
      <c r="F8" t="str">
        <f t="shared" si="2"/>
        <v>ELOTEGRANODELMONTE2.9KG.(6)</v>
      </c>
      <c r="G8" t="s">
        <v>2849</v>
      </c>
      <c r="H8" s="2">
        <v>1.8844178672497061E-2</v>
      </c>
    </row>
    <row r="9" spans="1:8" x14ac:dyDescent="0.3">
      <c r="A9" t="s">
        <v>1901</v>
      </c>
      <c r="B9" t="s">
        <v>1902</v>
      </c>
      <c r="C9">
        <v>1</v>
      </c>
      <c r="D9" t="str">
        <f t="shared" si="0"/>
        <v/>
      </c>
      <c r="E9" t="str">
        <f t="shared" si="1"/>
        <v/>
      </c>
      <c r="F9" t="str">
        <f t="shared" si="2"/>
        <v>%MAYONESAHELLMANN'S13KGTINA</v>
      </c>
      <c r="G9" t="s">
        <v>3310</v>
      </c>
      <c r="H9" s="2">
        <v>1.8692608640803784E-2</v>
      </c>
    </row>
    <row r="10" spans="1:8" x14ac:dyDescent="0.3">
      <c r="A10" t="s">
        <v>1472</v>
      </c>
      <c r="B10" t="s">
        <v>1473</v>
      </c>
      <c r="C10">
        <v>12</v>
      </c>
      <c r="D10">
        <f t="shared" si="0"/>
        <v>12</v>
      </c>
      <c r="E10" t="str">
        <f t="shared" si="1"/>
        <v/>
      </c>
      <c r="F10" t="str">
        <f t="shared" si="2"/>
        <v>LECHEULTRAPREMIUMENTERALALA1L(12)</v>
      </c>
      <c r="G10" t="s">
        <v>3096</v>
      </c>
      <c r="H10" s="2">
        <v>1.6321753888490807E-2</v>
      </c>
    </row>
    <row r="11" spans="1:8" x14ac:dyDescent="0.3">
      <c r="A11" t="s">
        <v>2135</v>
      </c>
      <c r="B11" t="s">
        <v>2136</v>
      </c>
      <c r="C11">
        <v>20</v>
      </c>
      <c r="D11">
        <f t="shared" si="0"/>
        <v>20</v>
      </c>
      <c r="E11" t="str">
        <f t="shared" si="1"/>
        <v/>
      </c>
      <c r="F11" t="str">
        <f t="shared" si="2"/>
        <v>FRIJOLPINTOVERDEVALLE1K(20)</v>
      </c>
      <c r="G11" t="s">
        <v>3427</v>
      </c>
      <c r="H11" s="2">
        <v>1.3473710788926315E-2</v>
      </c>
    </row>
    <row r="12" spans="1:8" x14ac:dyDescent="0.3">
      <c r="A12" t="s">
        <v>1382</v>
      </c>
      <c r="B12" t="s">
        <v>1383</v>
      </c>
      <c r="C12">
        <v>4</v>
      </c>
      <c r="D12">
        <f t="shared" si="0"/>
        <v>4</v>
      </c>
      <c r="E12" t="str">
        <f t="shared" si="1"/>
        <v/>
      </c>
      <c r="F12" t="str">
        <f t="shared" si="2"/>
        <v>PASTATOMATEFUERTE*BOLSA*3KG(4)</v>
      </c>
      <c r="G12" t="s">
        <v>3051</v>
      </c>
      <c r="H12" s="2">
        <v>1.2878526910903999E-2</v>
      </c>
    </row>
    <row r="13" spans="1:8" x14ac:dyDescent="0.3">
      <c r="A13" t="s">
        <v>961</v>
      </c>
      <c r="B13" t="s">
        <v>962</v>
      </c>
      <c r="C13">
        <v>6</v>
      </c>
      <c r="D13">
        <f t="shared" si="0"/>
        <v>6</v>
      </c>
      <c r="E13" t="str">
        <f t="shared" si="1"/>
        <v/>
      </c>
      <c r="F13" t="str">
        <f t="shared" si="2"/>
        <v>CHILECHIPOTLEDELMONTE2.9K(6)</v>
      </c>
      <c r="G13" t="s">
        <v>2841</v>
      </c>
      <c r="H13" s="2">
        <v>1.282419274975069E-2</v>
      </c>
    </row>
    <row r="14" spans="1:8" x14ac:dyDescent="0.3">
      <c r="A14" t="s">
        <v>1536</v>
      </c>
      <c r="B14" t="s">
        <v>1537</v>
      </c>
      <c r="C14">
        <v>1</v>
      </c>
      <c r="D14" t="str">
        <f t="shared" si="0"/>
        <v/>
      </c>
      <c r="E14" t="str">
        <f t="shared" si="1"/>
        <v/>
      </c>
      <c r="F14" t="str">
        <f t="shared" si="2"/>
        <v>GALLETASSALADASGAMESA1.232K</v>
      </c>
      <c r="G14" t="s">
        <v>3128</v>
      </c>
      <c r="H14" s="2">
        <v>1.224934961927978E-2</v>
      </c>
    </row>
    <row r="15" spans="1:8" x14ac:dyDescent="0.3">
      <c r="A15" t="s">
        <v>1554</v>
      </c>
      <c r="B15" t="s">
        <v>1555</v>
      </c>
      <c r="C15">
        <v>10</v>
      </c>
      <c r="D15">
        <f t="shared" si="0"/>
        <v>10</v>
      </c>
      <c r="E15" t="str">
        <f t="shared" si="1"/>
        <v/>
      </c>
      <c r="F15" t="str">
        <f t="shared" si="2"/>
        <v>HARINAHOTCAKESGAMESA800G(10)</v>
      </c>
      <c r="G15" t="s">
        <v>3137</v>
      </c>
      <c r="H15" s="2">
        <v>1.163253385663489E-2</v>
      </c>
    </row>
    <row r="16" spans="1:8" x14ac:dyDescent="0.3">
      <c r="A16" t="s">
        <v>1929</v>
      </c>
      <c r="B16" t="s">
        <v>1930</v>
      </c>
      <c r="C16">
        <v>4</v>
      </c>
      <c r="D16">
        <f t="shared" si="0"/>
        <v>4</v>
      </c>
      <c r="E16" t="str">
        <f t="shared" si="1"/>
        <v/>
      </c>
      <c r="F16" t="str">
        <f t="shared" si="2"/>
        <v>PUREPAPAKNORR3KG(4)</v>
      </c>
      <c r="G16" t="s">
        <v>3324</v>
      </c>
      <c r="H16" s="2">
        <v>1.1351074922417012E-2</v>
      </c>
    </row>
    <row r="17" spans="1:8" x14ac:dyDescent="0.3">
      <c r="A17" t="s">
        <v>1321</v>
      </c>
      <c r="B17" t="s">
        <v>1322</v>
      </c>
      <c r="C17">
        <v>12</v>
      </c>
      <c r="D17">
        <f t="shared" si="0"/>
        <v>12</v>
      </c>
      <c r="E17" t="str">
        <f t="shared" si="1"/>
        <v/>
      </c>
      <c r="F17" t="str">
        <f t="shared" si="2"/>
        <v>PRODUCTOLACTEONUTRILECHELALA1L(12)</v>
      </c>
      <c r="G17" t="s">
        <v>3021</v>
      </c>
      <c r="H17" s="2">
        <v>1.108839109964683E-2</v>
      </c>
    </row>
    <row r="18" spans="1:8" x14ac:dyDescent="0.3">
      <c r="A18" t="s">
        <v>1735</v>
      </c>
      <c r="B18" t="s">
        <v>1736</v>
      </c>
      <c r="C18">
        <v>12</v>
      </c>
      <c r="D18">
        <f t="shared" si="0"/>
        <v>12</v>
      </c>
      <c r="E18" t="str">
        <f t="shared" si="1"/>
        <v/>
      </c>
      <c r="F18" t="str">
        <f t="shared" si="2"/>
        <v>#MAYONESAC/LIMONMC725G(12)</v>
      </c>
      <c r="G18" t="s">
        <v>3227</v>
      </c>
      <c r="H18" s="2">
        <v>1.0623893567240195E-2</v>
      </c>
    </row>
    <row r="19" spans="1:8" x14ac:dyDescent="0.3">
      <c r="A19" t="s">
        <v>1955</v>
      </c>
      <c r="B19" t="s">
        <v>1956</v>
      </c>
      <c r="C19">
        <v>6</v>
      </c>
      <c r="D19">
        <f t="shared" si="0"/>
        <v>6</v>
      </c>
      <c r="E19" t="str">
        <f t="shared" si="1"/>
        <v/>
      </c>
      <c r="F19" t="str">
        <f t="shared" si="2"/>
        <v>KNORRSUIZA3.5K(6)</v>
      </c>
      <c r="G19" t="s">
        <v>3337</v>
      </c>
      <c r="H19" s="2">
        <v>1.0297744500371488E-2</v>
      </c>
    </row>
    <row r="20" spans="1:8" x14ac:dyDescent="0.3">
      <c r="A20" t="s">
        <v>969</v>
      </c>
      <c r="B20" t="s">
        <v>970</v>
      </c>
      <c r="C20">
        <v>1</v>
      </c>
      <c r="D20" t="str">
        <f t="shared" si="0"/>
        <v/>
      </c>
      <c r="E20" t="str">
        <f t="shared" si="1"/>
        <v/>
      </c>
      <c r="F20" t="str">
        <f t="shared" si="2"/>
        <v>ACEITEAVE20LBIDON</v>
      </c>
      <c r="G20" t="s">
        <v>2845</v>
      </c>
      <c r="H20" s="2">
        <v>9.4438554279210243E-3</v>
      </c>
    </row>
    <row r="21" spans="1:8" x14ac:dyDescent="0.3">
      <c r="A21" t="s">
        <v>1396</v>
      </c>
      <c r="B21" t="s">
        <v>1397</v>
      </c>
      <c r="D21">
        <f t="shared" si="0"/>
        <v>10</v>
      </c>
      <c r="E21" t="str">
        <f t="shared" si="1"/>
        <v/>
      </c>
      <c r="F21" t="str">
        <f t="shared" si="2"/>
        <v>ARROZSUPEREXTRANILO906GR(10)</v>
      </c>
      <c r="G21" t="s">
        <v>3058</v>
      </c>
      <c r="H21" s="2">
        <v>9.426785520125958E-3</v>
      </c>
    </row>
    <row r="22" spans="1:8" x14ac:dyDescent="0.3">
      <c r="A22" t="s">
        <v>843</v>
      </c>
      <c r="B22" t="s">
        <v>844</v>
      </c>
      <c r="C22">
        <v>18</v>
      </c>
      <c r="D22">
        <f t="shared" si="0"/>
        <v>18</v>
      </c>
      <c r="E22" t="str">
        <f t="shared" si="1"/>
        <v/>
      </c>
      <c r="F22" t="str">
        <f>SUBSTITUTE(UPPER(CLEAN(G22))," ","")</f>
        <v>DETERGENTEAXION720GR(18)</v>
      </c>
      <c r="G22" t="s">
        <v>2782</v>
      </c>
      <c r="H22" s="2">
        <v>8.7501357937840481E-3</v>
      </c>
    </row>
    <row r="23" spans="1:8" x14ac:dyDescent="0.3">
      <c r="A23" t="s">
        <v>963</v>
      </c>
      <c r="B23" t="s">
        <v>964</v>
      </c>
      <c r="C23">
        <v>6</v>
      </c>
      <c r="D23">
        <f t="shared" si="0"/>
        <v>6</v>
      </c>
      <c r="E23" t="str">
        <f t="shared" si="1"/>
        <v/>
      </c>
      <c r="F23" t="str">
        <f t="shared" ref="F23:F54" si="3">SUBSTITUTE(UPPER(CLEAN(B23))," ","")</f>
        <v>SALSATIPOCATSUPDELMONTE3.8K(6)</v>
      </c>
      <c r="G23" t="s">
        <v>2842</v>
      </c>
      <c r="H23" s="2">
        <v>8.5120891768849828E-3</v>
      </c>
    </row>
    <row r="24" spans="1:8" x14ac:dyDescent="0.3">
      <c r="A24" t="s">
        <v>1809</v>
      </c>
      <c r="B24" t="s">
        <v>1810</v>
      </c>
      <c r="C24">
        <v>1</v>
      </c>
      <c r="D24" t="str">
        <f t="shared" si="0"/>
        <v/>
      </c>
      <c r="E24" t="str">
        <f t="shared" si="1"/>
        <v/>
      </c>
      <c r="F24" t="str">
        <f t="shared" si="3"/>
        <v>MOLEDOÑAMARIA10KG*TINA*</v>
      </c>
      <c r="G24" t="s">
        <v>3264</v>
      </c>
      <c r="H24" s="2">
        <v>8.423042486422434E-3</v>
      </c>
    </row>
    <row r="25" spans="1:8" x14ac:dyDescent="0.3">
      <c r="A25" t="s">
        <v>341</v>
      </c>
      <c r="B25" t="s">
        <v>342</v>
      </c>
      <c r="C25">
        <v>10</v>
      </c>
      <c r="D25">
        <f t="shared" si="0"/>
        <v>10</v>
      </c>
      <c r="E25" t="str">
        <f t="shared" si="1"/>
        <v/>
      </c>
      <c r="F25" t="str">
        <f t="shared" si="3"/>
        <v>AZUCARREFINADAGRANMYA910G(10)</v>
      </c>
      <c r="G25" t="s">
        <v>2531</v>
      </c>
      <c r="H25" s="2">
        <v>8.1560438668726969E-3</v>
      </c>
    </row>
    <row r="26" spans="1:8" x14ac:dyDescent="0.3">
      <c r="A26" t="s">
        <v>1564</v>
      </c>
      <c r="B26" t="s">
        <v>1565</v>
      </c>
      <c r="C26">
        <v>12</v>
      </c>
      <c r="D26">
        <f t="shared" si="0"/>
        <v>12</v>
      </c>
      <c r="E26" t="str">
        <f t="shared" si="1"/>
        <v/>
      </c>
      <c r="F26" t="str">
        <f t="shared" si="3"/>
        <v>MANTECAINCA1K(12)</v>
      </c>
      <c r="G26" t="s">
        <v>3142</v>
      </c>
      <c r="H26" s="2">
        <v>8.0407014039070527E-3</v>
      </c>
    </row>
    <row r="27" spans="1:8" x14ac:dyDescent="0.3">
      <c r="A27" t="s">
        <v>1263</v>
      </c>
      <c r="B27" t="s">
        <v>1264</v>
      </c>
      <c r="C27">
        <v>48</v>
      </c>
      <c r="D27">
        <f t="shared" si="0"/>
        <v>48</v>
      </c>
      <c r="E27" t="str">
        <f t="shared" si="1"/>
        <v/>
      </c>
      <c r="F27" t="str">
        <f t="shared" si="3"/>
        <v>LECHELALECHERAGRANDE375GR(48)</v>
      </c>
      <c r="G27" t="s">
        <v>2992</v>
      </c>
      <c r="H27" s="2">
        <v>7.6298286054269915E-3</v>
      </c>
    </row>
    <row r="28" spans="1:8" x14ac:dyDescent="0.3">
      <c r="A28" t="s">
        <v>143</v>
      </c>
      <c r="B28" t="s">
        <v>144</v>
      </c>
      <c r="C28">
        <v>24</v>
      </c>
      <c r="D28">
        <f t="shared" si="0"/>
        <v>24</v>
      </c>
      <c r="E28" t="str">
        <f t="shared" si="1"/>
        <v/>
      </c>
      <c r="F28" t="str">
        <f t="shared" si="3"/>
        <v>CREMADECOCOCALAHUA480G(24)</v>
      </c>
      <c r="G28" t="s">
        <v>2432</v>
      </c>
      <c r="H28" s="2">
        <v>7.6092060100724198E-3</v>
      </c>
    </row>
    <row r="29" spans="1:8" x14ac:dyDescent="0.3">
      <c r="A29" t="s">
        <v>1055</v>
      </c>
      <c r="B29" t="s">
        <v>1056</v>
      </c>
      <c r="C29">
        <v>10</v>
      </c>
      <c r="D29">
        <f t="shared" si="0"/>
        <v>10</v>
      </c>
      <c r="E29" t="str">
        <f t="shared" si="1"/>
        <v/>
      </c>
      <c r="F29" t="str">
        <f t="shared" si="3"/>
        <v>FRIJOLPINTOSALTILLOFRIJOLIN906G(10)</v>
      </c>
      <c r="G29" t="s">
        <v>2888</v>
      </c>
      <c r="H29" s="2">
        <v>7.4705595857559983E-3</v>
      </c>
    </row>
    <row r="30" spans="1:8" x14ac:dyDescent="0.3">
      <c r="A30" t="s">
        <v>1203</v>
      </c>
      <c r="B30" t="s">
        <v>1204</v>
      </c>
      <c r="C30">
        <v>6</v>
      </c>
      <c r="D30">
        <f t="shared" si="0"/>
        <v>6</v>
      </c>
      <c r="E30" t="str">
        <f t="shared" si="1"/>
        <v/>
      </c>
      <c r="F30" t="str">
        <f t="shared" si="3"/>
        <v>CREMACOFFEMATEC/200/4G(6)PORCION</v>
      </c>
      <c r="G30" t="s">
        <v>2962</v>
      </c>
      <c r="H30" s="2">
        <v>7.1215424132030818E-3</v>
      </c>
    </row>
    <row r="31" spans="1:8" x14ac:dyDescent="0.3">
      <c r="A31" t="s">
        <v>1694</v>
      </c>
      <c r="B31" t="s">
        <v>1695</v>
      </c>
      <c r="C31">
        <v>20</v>
      </c>
      <c r="D31">
        <f t="shared" si="0"/>
        <v>20</v>
      </c>
      <c r="E31" t="str">
        <f t="shared" si="1"/>
        <v/>
      </c>
      <c r="F31" t="str">
        <f t="shared" si="3"/>
        <v>SALLAFINA1KG(20)</v>
      </c>
      <c r="G31" t="s">
        <v>3207</v>
      </c>
      <c r="H31" s="2">
        <v>6.9698437298215234E-3</v>
      </c>
    </row>
    <row r="32" spans="1:8" x14ac:dyDescent="0.3">
      <c r="A32" s="1" t="s">
        <v>499</v>
      </c>
      <c r="B32" s="1" t="s">
        <v>500</v>
      </c>
      <c r="C32">
        <v>12</v>
      </c>
      <c r="D32">
        <f t="shared" si="0"/>
        <v>12</v>
      </c>
      <c r="E32" t="str">
        <f t="shared" si="1"/>
        <v/>
      </c>
      <c r="F32" t="str">
        <f t="shared" si="3"/>
        <v>#CARNATIONLECHEEVAPORADA1KG(12)</v>
      </c>
      <c r="G32" t="s">
        <v>2610</v>
      </c>
      <c r="H32" s="2">
        <v>6.7542986426056472E-3</v>
      </c>
    </row>
    <row r="33" spans="1:8" x14ac:dyDescent="0.3">
      <c r="A33" t="s">
        <v>1516</v>
      </c>
      <c r="B33" t="s">
        <v>1517</v>
      </c>
      <c r="C33">
        <v>10</v>
      </c>
      <c r="D33">
        <f t="shared" si="0"/>
        <v>10</v>
      </c>
      <c r="E33" t="str">
        <f t="shared" si="1"/>
        <v/>
      </c>
      <c r="F33" t="str">
        <f t="shared" si="3"/>
        <v>ARROZVERDEVALLE1K(10)</v>
      </c>
      <c r="G33" t="s">
        <v>3118</v>
      </c>
      <c r="H33" s="2">
        <v>6.308904496658255E-3</v>
      </c>
    </row>
    <row r="34" spans="1:8" x14ac:dyDescent="0.3">
      <c r="A34" t="s">
        <v>1217</v>
      </c>
      <c r="B34" t="s">
        <v>1218</v>
      </c>
      <c r="C34">
        <v>48</v>
      </c>
      <c r="D34">
        <f t="shared" si="0"/>
        <v>48</v>
      </c>
      <c r="E34" t="str">
        <f t="shared" si="1"/>
        <v/>
      </c>
      <c r="F34" t="str">
        <f t="shared" si="3"/>
        <v>LECHECLAVEL360ML(48)</v>
      </c>
      <c r="G34" t="s">
        <v>2969</v>
      </c>
      <c r="H34" s="2">
        <v>6.2408401622670272E-3</v>
      </c>
    </row>
    <row r="35" spans="1:8" x14ac:dyDescent="0.3">
      <c r="A35" t="s">
        <v>2165</v>
      </c>
      <c r="B35" t="s">
        <v>2166</v>
      </c>
      <c r="C35">
        <v>1</v>
      </c>
      <c r="D35" t="str">
        <f t="shared" si="0"/>
        <v/>
      </c>
      <c r="E35" t="str">
        <f t="shared" si="1"/>
        <v/>
      </c>
      <c r="F35" t="str">
        <f t="shared" si="3"/>
        <v>CONDIMIXPOLLO14KBULTO</v>
      </c>
      <c r="G35" t="s">
        <v>3442</v>
      </c>
      <c r="H35" s="2">
        <v>6.1603109659274244E-3</v>
      </c>
    </row>
    <row r="36" spans="1:8" x14ac:dyDescent="0.3">
      <c r="A36" t="s">
        <v>465</v>
      </c>
      <c r="B36" t="s">
        <v>466</v>
      </c>
      <c r="C36">
        <v>1</v>
      </c>
      <c r="D36" t="str">
        <f t="shared" si="0"/>
        <v/>
      </c>
      <c r="E36" t="str">
        <f t="shared" si="1"/>
        <v/>
      </c>
      <c r="F36" t="str">
        <f t="shared" si="3"/>
        <v>HARINAPERLAC/25K</v>
      </c>
      <c r="G36" t="s">
        <v>2593</v>
      </c>
      <c r="H36" s="2">
        <v>5.957538343484026E-3</v>
      </c>
    </row>
    <row r="37" spans="1:8" x14ac:dyDescent="0.3">
      <c r="A37" t="s">
        <v>1157</v>
      </c>
      <c r="B37" t="s">
        <v>1158</v>
      </c>
      <c r="C37">
        <v>1</v>
      </c>
      <c r="D37" t="str">
        <f t="shared" si="0"/>
        <v/>
      </c>
      <c r="E37" t="str">
        <f t="shared" si="1"/>
        <v/>
      </c>
      <c r="F37" t="str">
        <f t="shared" si="3"/>
        <v>SALSAKETCHUPHEINZC/1008/8G</v>
      </c>
      <c r="G37" t="s">
        <v>2939</v>
      </c>
      <c r="H37" s="2">
        <v>5.9359720553356036E-3</v>
      </c>
    </row>
    <row r="38" spans="1:8" x14ac:dyDescent="0.3">
      <c r="A38" t="s">
        <v>2025</v>
      </c>
      <c r="B38" t="s">
        <v>2026</v>
      </c>
      <c r="C38">
        <v>12</v>
      </c>
      <c r="D38">
        <f t="shared" si="0"/>
        <v>12</v>
      </c>
      <c r="E38" t="str">
        <f t="shared" si="1"/>
        <v/>
      </c>
      <c r="F38" t="str">
        <f t="shared" si="3"/>
        <v>ADEREZOQUESOHELLMAN'S1L(12)</v>
      </c>
      <c r="G38" t="s">
        <v>3372</v>
      </c>
      <c r="H38" s="2">
        <v>5.7933626049501228E-3</v>
      </c>
    </row>
    <row r="39" spans="1:8" x14ac:dyDescent="0.3">
      <c r="A39" t="s">
        <v>1267</v>
      </c>
      <c r="B39" t="s">
        <v>1268</v>
      </c>
      <c r="C39">
        <v>12</v>
      </c>
      <c r="D39">
        <f t="shared" si="0"/>
        <v>12</v>
      </c>
      <c r="E39" t="str">
        <f t="shared" si="1"/>
        <v/>
      </c>
      <c r="F39" t="str">
        <f t="shared" si="3"/>
        <v>LECHECLAVEL1KG(12)</v>
      </c>
      <c r="G39" t="s">
        <v>2994</v>
      </c>
      <c r="H39" s="2">
        <v>5.1810745892536302E-3</v>
      </c>
    </row>
    <row r="40" spans="1:8" x14ac:dyDescent="0.3">
      <c r="A40" t="s">
        <v>2163</v>
      </c>
      <c r="B40" t="s">
        <v>2164</v>
      </c>
      <c r="C40">
        <v>1</v>
      </c>
      <c r="D40" t="str">
        <f t="shared" si="0"/>
        <v/>
      </c>
      <c r="E40" t="str">
        <f t="shared" si="1"/>
        <v/>
      </c>
      <c r="F40" t="str">
        <f t="shared" si="3"/>
        <v>CONDIMIXTOMATE14KBULTO</v>
      </c>
      <c r="G40" t="s">
        <v>3441</v>
      </c>
      <c r="H40" s="2">
        <v>5.1348817631571312E-3</v>
      </c>
    </row>
    <row r="41" spans="1:8" x14ac:dyDescent="0.3">
      <c r="A41" t="s">
        <v>1205</v>
      </c>
      <c r="B41" t="s">
        <v>1206</v>
      </c>
      <c r="C41">
        <v>1</v>
      </c>
      <c r="D41" t="str">
        <f t="shared" si="0"/>
        <v/>
      </c>
      <c r="E41" t="str">
        <f t="shared" si="1"/>
        <v/>
      </c>
      <c r="F41" t="str">
        <f t="shared" si="3"/>
        <v>SPLENDAC/700SOBRES</v>
      </c>
      <c r="G41" t="s">
        <v>2963</v>
      </c>
      <c r="H41" s="2">
        <v>5.1095841530802823E-3</v>
      </c>
    </row>
    <row r="42" spans="1:8" x14ac:dyDescent="0.3">
      <c r="A42" t="s">
        <v>1390</v>
      </c>
      <c r="B42" t="s">
        <v>1391</v>
      </c>
      <c r="C42">
        <v>12</v>
      </c>
      <c r="D42">
        <f t="shared" si="0"/>
        <v>12</v>
      </c>
      <c r="E42" t="str">
        <f t="shared" si="1"/>
        <v/>
      </c>
      <c r="F42" t="str">
        <f t="shared" si="3"/>
        <v>SALSADELAVIUDAPICANTE150ML(12)</v>
      </c>
      <c r="G42" t="s">
        <v>3055</v>
      </c>
      <c r="H42" s="2">
        <v>4.9866264883066998E-3</v>
      </c>
    </row>
    <row r="43" spans="1:8" x14ac:dyDescent="0.3">
      <c r="A43" t="s">
        <v>75</v>
      </c>
      <c r="B43" t="s">
        <v>76</v>
      </c>
      <c r="C43">
        <v>12</v>
      </c>
      <c r="D43">
        <f t="shared" si="0"/>
        <v>12</v>
      </c>
      <c r="E43" t="str">
        <f t="shared" si="1"/>
        <v/>
      </c>
      <c r="F43" t="str">
        <f t="shared" si="3"/>
        <v>ACEITEKARTAMUS900ML(12)</v>
      </c>
      <c r="G43" t="s">
        <v>2398</v>
      </c>
      <c r="H43" s="2">
        <v>4.8718469612187617E-3</v>
      </c>
    </row>
    <row r="44" spans="1:8" x14ac:dyDescent="0.3">
      <c r="A44" t="s">
        <v>611</v>
      </c>
      <c r="B44" t="s">
        <v>612</v>
      </c>
      <c r="C44">
        <v>6</v>
      </c>
      <c r="D44">
        <f t="shared" si="0"/>
        <v>6</v>
      </c>
      <c r="E44" t="str">
        <f t="shared" si="1"/>
        <v/>
      </c>
      <c r="F44" t="str">
        <f t="shared" si="3"/>
        <v>PASTATOMATEPRINSA*BOLSA*3KG(6)</v>
      </c>
      <c r="G44" t="s">
        <v>2666</v>
      </c>
      <c r="H44" s="2">
        <v>4.698594516411362E-3</v>
      </c>
    </row>
    <row r="45" spans="1:8" x14ac:dyDescent="0.3">
      <c r="A45" t="s">
        <v>1634</v>
      </c>
      <c r="B45" t="s">
        <v>1635</v>
      </c>
      <c r="C45">
        <v>2</v>
      </c>
      <c r="D45">
        <f t="shared" si="0"/>
        <v>2</v>
      </c>
      <c r="E45" t="str">
        <f t="shared" si="1"/>
        <v/>
      </c>
      <c r="F45" t="str">
        <f t="shared" si="3"/>
        <v>SALSAKNORRDEMIGLACE4KG.CUBETA(2)</v>
      </c>
      <c r="G45" t="s">
        <v>3177</v>
      </c>
      <c r="H45" s="2">
        <v>4.6258245425157014E-3</v>
      </c>
    </row>
    <row r="46" spans="1:8" x14ac:dyDescent="0.3">
      <c r="A46" t="s">
        <v>1037</v>
      </c>
      <c r="B46" t="s">
        <v>1038</v>
      </c>
      <c r="C46">
        <v>12</v>
      </c>
      <c r="D46">
        <f t="shared" si="0"/>
        <v>12</v>
      </c>
      <c r="E46" t="str">
        <f t="shared" si="1"/>
        <v/>
      </c>
      <c r="F46" t="str">
        <f t="shared" si="3"/>
        <v>ACEITEORIGINALPAMSPRAY170G(12)</v>
      </c>
      <c r="G46" t="s">
        <v>2879</v>
      </c>
      <c r="H46" s="2">
        <v>4.5795514511029339E-3</v>
      </c>
    </row>
    <row r="47" spans="1:8" x14ac:dyDescent="0.3">
      <c r="A47" t="s">
        <v>1376</v>
      </c>
      <c r="B47" t="s">
        <v>1377</v>
      </c>
      <c r="C47">
        <v>6</v>
      </c>
      <c r="D47">
        <f t="shared" si="0"/>
        <v>6</v>
      </c>
      <c r="E47" t="str">
        <f t="shared" si="1"/>
        <v/>
      </c>
      <c r="F47" t="str">
        <f t="shared" si="3"/>
        <v>PURETOMATEFUERTENATURAL2.9KBOLSA(6)</v>
      </c>
      <c r="G47" t="s">
        <v>3048</v>
      </c>
      <c r="H47" s="2">
        <v>4.5065381917175846E-3</v>
      </c>
    </row>
    <row r="48" spans="1:8" x14ac:dyDescent="0.3">
      <c r="A48" t="s">
        <v>2063</v>
      </c>
      <c r="B48" t="s">
        <v>2064</v>
      </c>
      <c r="C48">
        <v>100</v>
      </c>
      <c r="D48">
        <f t="shared" si="0"/>
        <v>100</v>
      </c>
      <c r="E48" t="str">
        <f t="shared" si="1"/>
        <v/>
      </c>
      <c r="F48" t="str">
        <f t="shared" si="3"/>
        <v>ALCOHOLSOLIDOALCOSOL250ML*(100)</v>
      </c>
      <c r="G48" t="s">
        <v>3391</v>
      </c>
      <c r="H48" s="2">
        <v>4.2014978689142914E-3</v>
      </c>
    </row>
    <row r="49" spans="1:8" x14ac:dyDescent="0.3">
      <c r="A49" t="s">
        <v>1716</v>
      </c>
      <c r="B49" t="s">
        <v>1717</v>
      </c>
      <c r="C49">
        <v>6</v>
      </c>
      <c r="D49">
        <f t="shared" si="0"/>
        <v>6</v>
      </c>
      <c r="E49" t="str">
        <f t="shared" si="1"/>
        <v/>
      </c>
      <c r="F49" t="str">
        <f t="shared" si="3"/>
        <v>ATUNENAGUATUNY1880G(6)</v>
      </c>
      <c r="G49" t="s">
        <v>3218</v>
      </c>
      <c r="H49" s="2">
        <v>4.1561548308776571E-3</v>
      </c>
    </row>
    <row r="50" spans="1:8" x14ac:dyDescent="0.3">
      <c r="A50" t="s">
        <v>357</v>
      </c>
      <c r="B50" t="s">
        <v>358</v>
      </c>
      <c r="C50">
        <v>1</v>
      </c>
      <c r="D50" t="str">
        <f t="shared" si="0"/>
        <v/>
      </c>
      <c r="E50" t="str">
        <f t="shared" si="1"/>
        <v/>
      </c>
      <c r="F50" t="str">
        <f t="shared" si="3"/>
        <v>AZUCARBLANCAREFINADAC/25K</v>
      </c>
      <c r="G50" t="s">
        <v>2539</v>
      </c>
      <c r="H50" s="2">
        <v>4.1136560412587805E-3</v>
      </c>
    </row>
    <row r="51" spans="1:8" x14ac:dyDescent="0.3">
      <c r="A51" t="s">
        <v>629</v>
      </c>
      <c r="B51" t="s">
        <v>630</v>
      </c>
      <c r="C51">
        <v>20</v>
      </c>
      <c r="D51">
        <f t="shared" si="0"/>
        <v>20</v>
      </c>
      <c r="E51" t="str">
        <f t="shared" si="1"/>
        <v/>
      </c>
      <c r="F51" t="str">
        <f t="shared" si="3"/>
        <v>SALPALOMA1KG(20)</v>
      </c>
      <c r="G51" t="s">
        <v>2675</v>
      </c>
      <c r="H51" s="2">
        <v>4.0458389465317483E-3</v>
      </c>
    </row>
    <row r="52" spans="1:8" x14ac:dyDescent="0.3">
      <c r="A52" t="s">
        <v>1552</v>
      </c>
      <c r="B52" t="s">
        <v>1553</v>
      </c>
      <c r="C52">
        <v>12</v>
      </c>
      <c r="D52">
        <f t="shared" si="0"/>
        <v>12</v>
      </c>
      <c r="E52" t="str">
        <f t="shared" si="1"/>
        <v/>
      </c>
      <c r="F52" t="str">
        <f t="shared" si="3"/>
        <v>GALLETASSURTIDORICOGAMESA424GR(12)</v>
      </c>
      <c r="G52" t="s">
        <v>3136</v>
      </c>
      <c r="H52" s="2">
        <v>4.0015497266870292E-3</v>
      </c>
    </row>
    <row r="53" spans="1:8" x14ac:dyDescent="0.3">
      <c r="A53" t="s">
        <v>1273</v>
      </c>
      <c r="B53" t="s">
        <v>1274</v>
      </c>
      <c r="C53">
        <v>6</v>
      </c>
      <c r="D53">
        <f t="shared" si="0"/>
        <v>6</v>
      </c>
      <c r="E53" t="str">
        <f t="shared" si="1"/>
        <v/>
      </c>
      <c r="F53" t="str">
        <f t="shared" si="3"/>
        <v>SALSAINGLESAC/B980ML(6)</v>
      </c>
      <c r="G53" t="s">
        <v>2997</v>
      </c>
      <c r="H53" s="2">
        <v>3.9437596742860574E-3</v>
      </c>
    </row>
    <row r="54" spans="1:8" x14ac:dyDescent="0.3">
      <c r="A54" t="s">
        <v>445</v>
      </c>
      <c r="B54" t="s">
        <v>446</v>
      </c>
      <c r="C54">
        <v>10</v>
      </c>
      <c r="D54">
        <f t="shared" si="0"/>
        <v>10</v>
      </c>
      <c r="E54" t="str">
        <f t="shared" si="1"/>
        <v/>
      </c>
      <c r="F54" t="str">
        <f t="shared" si="3"/>
        <v>HARINASELECTA1K(10)</v>
      </c>
      <c r="G54" t="s">
        <v>2583</v>
      </c>
      <c r="H54" s="2">
        <v>3.8886638790660093E-3</v>
      </c>
    </row>
    <row r="55" spans="1:8" x14ac:dyDescent="0.3">
      <c r="A55" t="s">
        <v>497</v>
      </c>
      <c r="B55" t="s">
        <v>498</v>
      </c>
      <c r="C55">
        <v>48</v>
      </c>
      <c r="D55">
        <f t="shared" si="0"/>
        <v>48</v>
      </c>
      <c r="E55" t="str">
        <f t="shared" si="1"/>
        <v/>
      </c>
      <c r="F55" t="str">
        <f t="shared" ref="F55:F78" si="4">SUBSTITUTE(UPPER(CLEAN(B55))," ","")</f>
        <v>#LECHECARNATION360ML(48)</v>
      </c>
      <c r="G55" t="s">
        <v>2609</v>
      </c>
      <c r="H55" s="2">
        <v>3.8261644464416137E-3</v>
      </c>
    </row>
    <row r="56" spans="1:8" x14ac:dyDescent="0.3">
      <c r="A56" t="s">
        <v>1999</v>
      </c>
      <c r="B56" t="s">
        <v>2000</v>
      </c>
      <c r="C56">
        <v>24</v>
      </c>
      <c r="D56">
        <f t="shared" si="0"/>
        <v>24</v>
      </c>
      <c r="E56" t="str">
        <f t="shared" si="1"/>
        <v/>
      </c>
      <c r="F56" t="str">
        <f t="shared" si="4"/>
        <v>MAIZENA750G(24)</v>
      </c>
      <c r="G56" t="s">
        <v>3359</v>
      </c>
      <c r="H56" s="2">
        <v>3.7974142636946475E-3</v>
      </c>
    </row>
    <row r="57" spans="1:8" x14ac:dyDescent="0.3">
      <c r="A57" t="s">
        <v>1259</v>
      </c>
      <c r="B57" t="s">
        <v>1260</v>
      </c>
      <c r="C57">
        <v>6</v>
      </c>
      <c r="D57">
        <f t="shared" si="0"/>
        <v>6</v>
      </c>
      <c r="E57" t="str">
        <f t="shared" si="1"/>
        <v/>
      </c>
      <c r="F57" t="str">
        <f t="shared" si="4"/>
        <v>JUGOMAGGI800ML(6)</v>
      </c>
      <c r="G57" t="s">
        <v>2990</v>
      </c>
      <c r="H57" s="2">
        <v>3.6651804152804854E-3</v>
      </c>
    </row>
    <row r="58" spans="1:8" x14ac:dyDescent="0.3">
      <c r="A58" t="s">
        <v>973</v>
      </c>
      <c r="B58" t="s">
        <v>974</v>
      </c>
      <c r="C58">
        <v>2</v>
      </c>
      <c r="D58">
        <f t="shared" si="0"/>
        <v>2</v>
      </c>
      <c r="E58" t="str">
        <f t="shared" si="1"/>
        <v/>
      </c>
      <c r="F58" t="str">
        <f t="shared" si="4"/>
        <v>ACEITEACTIONFRYAVE10L(2)PET</v>
      </c>
      <c r="G58" t="s">
        <v>2847</v>
      </c>
      <c r="H58" s="2">
        <v>3.6521808431460305E-3</v>
      </c>
    </row>
    <row r="59" spans="1:8" x14ac:dyDescent="0.3">
      <c r="A59" t="s">
        <v>339</v>
      </c>
      <c r="B59" t="s">
        <v>340</v>
      </c>
      <c r="C59">
        <v>10</v>
      </c>
      <c r="D59">
        <f t="shared" si="0"/>
        <v>10</v>
      </c>
      <c r="E59" t="str">
        <f t="shared" si="1"/>
        <v/>
      </c>
      <c r="F59" t="str">
        <f t="shared" si="4"/>
        <v>AZUCARMORENAGRANMYA908G(10)</v>
      </c>
      <c r="G59" t="s">
        <v>2530</v>
      </c>
      <c r="H59" s="2">
        <v>3.6315170813913298E-3</v>
      </c>
    </row>
    <row r="60" spans="1:8" x14ac:dyDescent="0.3">
      <c r="A60" t="s">
        <v>2029</v>
      </c>
      <c r="B60" t="s">
        <v>2030</v>
      </c>
      <c r="C60">
        <v>6</v>
      </c>
      <c r="D60">
        <f t="shared" si="0"/>
        <v>6</v>
      </c>
      <c r="E60" t="str">
        <f t="shared" si="1"/>
        <v/>
      </c>
      <c r="F60" t="str">
        <f t="shared" si="4"/>
        <v>KNORRCALDOCAMARON1.6K(6)</v>
      </c>
      <c r="G60" t="s">
        <v>3374</v>
      </c>
      <c r="H60" s="2">
        <v>3.5558418503657857E-3</v>
      </c>
    </row>
    <row r="61" spans="1:8" x14ac:dyDescent="0.3">
      <c r="A61" t="s">
        <v>2299</v>
      </c>
      <c r="B61" t="s">
        <v>2300</v>
      </c>
      <c r="C61">
        <v>6</v>
      </c>
      <c r="D61">
        <f t="shared" si="0"/>
        <v>6</v>
      </c>
      <c r="E61" t="str">
        <f t="shared" si="1"/>
        <v/>
      </c>
      <c r="F61" t="str">
        <f t="shared" si="4"/>
        <v>MAYONESAMEGASUPREMA3.57K(6)</v>
      </c>
      <c r="G61" t="s">
        <v>3509</v>
      </c>
      <c r="H61" s="2">
        <v>3.5520277652063854E-3</v>
      </c>
    </row>
    <row r="62" spans="1:8" x14ac:dyDescent="0.3">
      <c r="A62" t="s">
        <v>1410</v>
      </c>
      <c r="B62" t="s">
        <v>1411</v>
      </c>
      <c r="C62">
        <v>6</v>
      </c>
      <c r="D62">
        <f t="shared" si="0"/>
        <v>6</v>
      </c>
      <c r="E62" t="str">
        <f t="shared" si="1"/>
        <v/>
      </c>
      <c r="F62" t="str">
        <f t="shared" si="4"/>
        <v>CHILENACHOSCOSTEÑA2.8K(6)</v>
      </c>
      <c r="G62" t="s">
        <v>3065</v>
      </c>
      <c r="H62" s="2">
        <v>3.5488158941123435E-3</v>
      </c>
    </row>
    <row r="63" spans="1:8" x14ac:dyDescent="0.3">
      <c r="A63" t="s">
        <v>2335</v>
      </c>
      <c r="B63" t="s">
        <v>2336</v>
      </c>
      <c r="C63">
        <v>12</v>
      </c>
      <c r="D63">
        <f t="shared" si="0"/>
        <v>12</v>
      </c>
      <c r="E63" t="str">
        <f t="shared" si="1"/>
        <v/>
      </c>
      <c r="F63" t="str">
        <f t="shared" si="4"/>
        <v>SALSAENPOLVOTAJIN142G(12)</v>
      </c>
      <c r="G63" t="s">
        <v>3527</v>
      </c>
      <c r="H63" s="2">
        <v>3.5342990281221854E-3</v>
      </c>
    </row>
    <row r="64" spans="1:8" x14ac:dyDescent="0.3">
      <c r="A64" t="s">
        <v>2161</v>
      </c>
      <c r="B64" t="s">
        <v>2162</v>
      </c>
      <c r="C64">
        <v>4</v>
      </c>
      <c r="D64">
        <f t="shared" si="0"/>
        <v>4</v>
      </c>
      <c r="E64" t="str">
        <f t="shared" si="1"/>
        <v/>
      </c>
      <c r="F64" t="str">
        <f t="shared" si="4"/>
        <v>FRIJOLESBAYOSREFRITODESHIDKNORR3K(4</v>
      </c>
      <c r="G64" t="s">
        <v>3440</v>
      </c>
      <c r="H64" s="2">
        <v>3.3666743256156127E-3</v>
      </c>
    </row>
    <row r="65" spans="1:8" x14ac:dyDescent="0.3">
      <c r="A65" t="s">
        <v>1125</v>
      </c>
      <c r="B65" t="s">
        <v>1126</v>
      </c>
      <c r="C65">
        <v>12</v>
      </c>
      <c r="D65">
        <f t="shared" si="0"/>
        <v>12</v>
      </c>
      <c r="E65" t="str">
        <f t="shared" si="1"/>
        <v/>
      </c>
      <c r="F65" t="str">
        <f t="shared" si="4"/>
        <v>LECHEDESLACTOSADALALA1L(12)</v>
      </c>
      <c r="G65" t="s">
        <v>2923</v>
      </c>
      <c r="H65" s="2">
        <v>3.3288000241788649E-3</v>
      </c>
    </row>
    <row r="66" spans="1:8" x14ac:dyDescent="0.3">
      <c r="A66" t="s">
        <v>1590</v>
      </c>
      <c r="B66" t="s">
        <v>1591</v>
      </c>
      <c r="C66">
        <v>12</v>
      </c>
      <c r="D66">
        <f t="shared" ref="D66:D129" si="5">IFERROR(VALUE(IFERROR(
    MID(G66,FIND("(",G66)+1,FIND(")",G66)-FIND("(",G66)-1),
    IFERROR(
        MID(G66,FIND("(",G66)+1,LEN(G66)-FIND("(",G66)),
        ""
    )
)),"")</f>
        <v>12</v>
      </c>
      <c r="E66" t="str">
        <f t="shared" ref="E66:E129" si="6">IFERROR(VALUE(MID(SUBSTITUTE(G66," ",""),
FIND("/",SUBSTITUTE(G66," ",""))+1,
MIN(IFERROR(FIND("PZS",SUBSTITUTE(G66," ","")),999),
    IFERROR(FIND("PZA",SUBSTITUTE(G66," ","")),999))
-FIND("/",SUBSTITUTE(G66," ",""))-1)),"")</f>
        <v/>
      </c>
      <c r="F66" t="str">
        <f t="shared" si="4"/>
        <v>ACEITECAPULLO755ML(12)</v>
      </c>
      <c r="G66" t="s">
        <v>3155</v>
      </c>
      <c r="H66" s="2">
        <v>3.2443539328595398E-3</v>
      </c>
    </row>
    <row r="67" spans="1:8" x14ac:dyDescent="0.3">
      <c r="A67" t="s">
        <v>2119</v>
      </c>
      <c r="B67" t="s">
        <v>2120</v>
      </c>
      <c r="C67">
        <v>24</v>
      </c>
      <c r="D67">
        <f t="shared" si="5"/>
        <v>24</v>
      </c>
      <c r="E67" t="str">
        <f t="shared" si="6"/>
        <v/>
      </c>
      <c r="F67" t="str">
        <f t="shared" si="4"/>
        <v>PASTAYEMINASPAGUETTI200GR(24)</v>
      </c>
      <c r="G67" t="s">
        <v>3419</v>
      </c>
      <c r="H67" s="2">
        <v>3.1995079534520503E-3</v>
      </c>
    </row>
    <row r="68" spans="1:8" x14ac:dyDescent="0.3">
      <c r="A68" t="s">
        <v>1305</v>
      </c>
      <c r="B68" t="s">
        <v>1306</v>
      </c>
      <c r="C68">
        <v>4</v>
      </c>
      <c r="D68">
        <f t="shared" si="5"/>
        <v>4</v>
      </c>
      <c r="E68" t="str">
        <f t="shared" si="6"/>
        <v/>
      </c>
      <c r="F68" t="str">
        <f t="shared" si="4"/>
        <v>MOSTAZAHELLMANS3.78KG(4)</v>
      </c>
      <c r="G68" t="s">
        <v>3013</v>
      </c>
      <c r="H68" s="2">
        <v>3.1873108181039397E-3</v>
      </c>
    </row>
    <row r="69" spans="1:8" x14ac:dyDescent="0.3">
      <c r="A69" t="s">
        <v>1057</v>
      </c>
      <c r="B69" t="s">
        <v>1058</v>
      </c>
      <c r="C69">
        <v>10</v>
      </c>
      <c r="D69">
        <f t="shared" si="5"/>
        <v>10</v>
      </c>
      <c r="E69" t="str">
        <f t="shared" si="6"/>
        <v/>
      </c>
      <c r="F69" t="str">
        <f t="shared" si="4"/>
        <v>FRIJOLNEGROFRIJOLIN906G(10)</v>
      </c>
      <c r="G69" t="s">
        <v>2889</v>
      </c>
      <c r="H69" s="2">
        <v>3.1389353906129303E-3</v>
      </c>
    </row>
    <row r="70" spans="1:8" x14ac:dyDescent="0.3">
      <c r="A70" t="s">
        <v>991</v>
      </c>
      <c r="B70" t="s">
        <v>992</v>
      </c>
      <c r="C70">
        <v>24</v>
      </c>
      <c r="D70">
        <f t="shared" si="5"/>
        <v>24</v>
      </c>
      <c r="E70" t="str">
        <f t="shared" si="6"/>
        <v/>
      </c>
      <c r="F70" t="str">
        <f t="shared" si="4"/>
        <v>CHILECHIPOTLEDELMONTE400G(24)</v>
      </c>
      <c r="G70" t="s">
        <v>2856</v>
      </c>
      <c r="H70" s="2">
        <v>3.1231655133001197E-3</v>
      </c>
    </row>
    <row r="71" spans="1:8" x14ac:dyDescent="0.3">
      <c r="A71" t="s">
        <v>1043</v>
      </c>
      <c r="B71" t="s">
        <v>1044</v>
      </c>
      <c r="C71">
        <v>6</v>
      </c>
      <c r="D71">
        <f t="shared" si="5"/>
        <v>6</v>
      </c>
      <c r="E71" t="str">
        <f t="shared" si="6"/>
        <v/>
      </c>
      <c r="F71" t="str">
        <f t="shared" si="4"/>
        <v>SALSASOYAKIKOMAN1.89LTS(6)</v>
      </c>
      <c r="G71" t="s">
        <v>2882</v>
      </c>
      <c r="H71" s="2">
        <v>3.1196344416313227E-3</v>
      </c>
    </row>
    <row r="72" spans="1:8" x14ac:dyDescent="0.3">
      <c r="A72" t="s">
        <v>1614</v>
      </c>
      <c r="B72" t="s">
        <v>1615</v>
      </c>
      <c r="C72">
        <v>12</v>
      </c>
      <c r="D72">
        <f t="shared" si="5"/>
        <v>12</v>
      </c>
      <c r="E72" t="str">
        <f t="shared" si="6"/>
        <v/>
      </c>
      <c r="F72" t="str">
        <f t="shared" si="4"/>
        <v>DURAZNOMITADCOSTEÑA820G(12)</v>
      </c>
      <c r="G72" t="s">
        <v>3167</v>
      </c>
      <c r="H72" s="2">
        <v>3.0554663903559175E-3</v>
      </c>
    </row>
    <row r="73" spans="1:8" x14ac:dyDescent="0.3">
      <c r="A73" t="s">
        <v>1213</v>
      </c>
      <c r="B73" t="s">
        <v>1214</v>
      </c>
      <c r="C73">
        <v>4</v>
      </c>
      <c r="D73">
        <f t="shared" si="5"/>
        <v>4</v>
      </c>
      <c r="E73" t="str">
        <f t="shared" si="6"/>
        <v/>
      </c>
      <c r="F73" t="str">
        <f t="shared" si="4"/>
        <v>CAFECLASICONESCAFE1KG(4)</v>
      </c>
      <c r="G73" t="s">
        <v>2967</v>
      </c>
      <c r="H73" s="2">
        <v>3.0129616427285897E-3</v>
      </c>
    </row>
    <row r="74" spans="1:8" x14ac:dyDescent="0.3">
      <c r="A74" t="s">
        <v>327</v>
      </c>
      <c r="B74" t="s">
        <v>328</v>
      </c>
      <c r="C74">
        <v>24</v>
      </c>
      <c r="D74">
        <f t="shared" si="5"/>
        <v>24</v>
      </c>
      <c r="E74" t="str">
        <f t="shared" si="6"/>
        <v/>
      </c>
      <c r="F74" t="str">
        <f t="shared" si="4"/>
        <v>#MEDIACREMA225GRNESTLE(24)</v>
      </c>
      <c r="G74" t="s">
        <v>2524</v>
      </c>
      <c r="H74" s="2">
        <v>2.9811931631453991E-3</v>
      </c>
    </row>
    <row r="75" spans="1:8" x14ac:dyDescent="0.3">
      <c r="A75" t="s">
        <v>447</v>
      </c>
      <c r="B75" t="s">
        <v>448</v>
      </c>
      <c r="C75">
        <v>10</v>
      </c>
      <c r="D75">
        <f t="shared" si="5"/>
        <v>10</v>
      </c>
      <c r="E75" t="str">
        <f t="shared" si="6"/>
        <v/>
      </c>
      <c r="F75" t="str">
        <f t="shared" si="4"/>
        <v>HARINAMASECA1K(10)</v>
      </c>
      <c r="G75" t="s">
        <v>2584</v>
      </c>
      <c r="H75" s="2">
        <v>2.9705013951367518E-3</v>
      </c>
    </row>
    <row r="76" spans="1:8" x14ac:dyDescent="0.3">
      <c r="A76" t="s">
        <v>381</v>
      </c>
      <c r="B76" t="s">
        <v>382</v>
      </c>
      <c r="C76">
        <v>12</v>
      </c>
      <c r="D76">
        <f t="shared" si="5"/>
        <v>12</v>
      </c>
      <c r="E76" t="str">
        <f t="shared" si="6"/>
        <v/>
      </c>
      <c r="F76" t="str">
        <f t="shared" si="4"/>
        <v>PIMIENTACONLIMONPRAGNA1.1K(12)</v>
      </c>
      <c r="G76" t="s">
        <v>2551</v>
      </c>
      <c r="H76" s="2">
        <v>2.8825365829454352E-3</v>
      </c>
    </row>
    <row r="77" spans="1:8" x14ac:dyDescent="0.3">
      <c r="A77" t="s">
        <v>1101</v>
      </c>
      <c r="B77" t="s">
        <v>1102</v>
      </c>
      <c r="C77">
        <v>12</v>
      </c>
      <c r="D77">
        <f t="shared" si="5"/>
        <v>12</v>
      </c>
      <c r="E77" t="str">
        <f t="shared" si="6"/>
        <v/>
      </c>
      <c r="F77" t="str">
        <f t="shared" si="4"/>
        <v>JUGOPIÑAJUMEX960ML(12)TETRA</v>
      </c>
      <c r="G77" t="s">
        <v>2911</v>
      </c>
      <c r="H77" s="2">
        <v>2.8618413369148033E-3</v>
      </c>
    </row>
    <row r="78" spans="1:8" x14ac:dyDescent="0.3">
      <c r="A78" t="s">
        <v>1813</v>
      </c>
      <c r="B78" t="s">
        <v>1814</v>
      </c>
      <c r="C78">
        <v>1</v>
      </c>
      <c r="D78" t="str">
        <f t="shared" si="5"/>
        <v/>
      </c>
      <c r="E78" t="str">
        <f t="shared" si="6"/>
        <v/>
      </c>
      <c r="F78" t="str">
        <f t="shared" si="4"/>
        <v>MOLEDOÑAMARIAROJO4KG*TINA*</v>
      </c>
      <c r="G78" t="s">
        <v>3266</v>
      </c>
      <c r="H78" s="2">
        <v>2.8615910527656527E-3</v>
      </c>
    </row>
    <row r="79" spans="1:8" x14ac:dyDescent="0.3">
      <c r="A79" t="s">
        <v>123</v>
      </c>
      <c r="B79" t="s">
        <v>124</v>
      </c>
      <c r="C79">
        <v>16</v>
      </c>
      <c r="D79">
        <f t="shared" si="5"/>
        <v>16</v>
      </c>
      <c r="E79" t="str">
        <f t="shared" si="6"/>
        <v/>
      </c>
      <c r="F79" t="str">
        <f>SUBSTITUTE(UPPER(CLEAN(G79))," ","")</f>
        <v>ARROZSANJOSE700G(16)</v>
      </c>
      <c r="G79" t="s">
        <v>2422</v>
      </c>
      <c r="H79" s="2">
        <v>2.832300937988138E-3</v>
      </c>
    </row>
    <row r="80" spans="1:8" x14ac:dyDescent="0.3">
      <c r="A80" t="s">
        <v>1905</v>
      </c>
      <c r="B80" t="s">
        <v>1906</v>
      </c>
      <c r="C80">
        <v>4</v>
      </c>
      <c r="D80">
        <f t="shared" si="5"/>
        <v>4</v>
      </c>
      <c r="E80" t="str">
        <f t="shared" si="6"/>
        <v/>
      </c>
      <c r="F80" t="str">
        <f t="shared" ref="F80:F111" si="7">SUBSTITUTE(UPPER(CLEAN(B80))," ","")</f>
        <v>%MAYONESAHELLMANN´S3.8K(4)</v>
      </c>
      <c r="G80" t="s">
        <v>3312</v>
      </c>
      <c r="H80" s="2">
        <v>2.8284579154187334E-3</v>
      </c>
    </row>
    <row r="81" spans="1:8" x14ac:dyDescent="0.3">
      <c r="A81" t="s">
        <v>467</v>
      </c>
      <c r="B81" t="s">
        <v>468</v>
      </c>
      <c r="C81">
        <v>1</v>
      </c>
      <c r="D81" t="str">
        <f t="shared" si="5"/>
        <v/>
      </c>
      <c r="E81" t="str">
        <f t="shared" si="6"/>
        <v/>
      </c>
      <c r="F81" t="str">
        <f t="shared" si="7"/>
        <v>HARINADETRIGOHOJADEPLATA25K</v>
      </c>
      <c r="G81" t="s">
        <v>2594</v>
      </c>
      <c r="H81" s="2">
        <v>2.7636159944096211E-3</v>
      </c>
    </row>
    <row r="82" spans="1:8" x14ac:dyDescent="0.3">
      <c r="A82" t="s">
        <v>1333</v>
      </c>
      <c r="B82" t="s">
        <v>1334</v>
      </c>
      <c r="C82">
        <v>3</v>
      </c>
      <c r="D82">
        <f t="shared" si="5"/>
        <v>3</v>
      </c>
      <c r="E82" t="str">
        <f t="shared" si="6"/>
        <v/>
      </c>
      <c r="F82" t="str">
        <f t="shared" si="7"/>
        <v>PASTAYEMINACODOLISO4KG(3)</v>
      </c>
      <c r="G82" t="s">
        <v>3027</v>
      </c>
      <c r="H82" s="2">
        <v>2.7095483345838901E-3</v>
      </c>
    </row>
    <row r="83" spans="1:8" x14ac:dyDescent="0.3">
      <c r="A83" t="s">
        <v>557</v>
      </c>
      <c r="B83" t="s">
        <v>558</v>
      </c>
      <c r="C83">
        <v>1</v>
      </c>
      <c r="D83" t="str">
        <f t="shared" si="5"/>
        <v/>
      </c>
      <c r="E83" t="str">
        <f t="shared" si="6"/>
        <v/>
      </c>
      <c r="F83" t="str">
        <f t="shared" si="7"/>
        <v>EMPANIZADORLAMODERNAC/2/5KG</v>
      </c>
      <c r="G83" t="s">
        <v>2639</v>
      </c>
      <c r="H83" s="2">
        <v>2.7080038092970635E-3</v>
      </c>
    </row>
    <row r="84" spans="1:8" x14ac:dyDescent="0.3">
      <c r="A84" t="s">
        <v>1049</v>
      </c>
      <c r="B84" t="s">
        <v>1050</v>
      </c>
      <c r="C84">
        <v>24</v>
      </c>
      <c r="D84">
        <f t="shared" si="5"/>
        <v>24</v>
      </c>
      <c r="E84" t="str">
        <f t="shared" si="6"/>
        <v/>
      </c>
      <c r="F84" t="str">
        <f t="shared" si="7"/>
        <v>PURETOMATEFUERTECOND.210G*(24)</v>
      </c>
      <c r="G84" t="s">
        <v>2885</v>
      </c>
      <c r="H84" s="2">
        <v>2.6997185218937082E-3</v>
      </c>
    </row>
    <row r="85" spans="1:8" x14ac:dyDescent="0.3">
      <c r="A85" t="s">
        <v>1446</v>
      </c>
      <c r="B85" t="s">
        <v>1447</v>
      </c>
      <c r="C85">
        <v>6</v>
      </c>
      <c r="D85">
        <f t="shared" si="5"/>
        <v>6</v>
      </c>
      <c r="E85" t="str">
        <f t="shared" si="6"/>
        <v/>
      </c>
      <c r="F85" t="str">
        <f t="shared" si="7"/>
        <v>CHAMPINONREBANADOHERDEZ2800GR(6)</v>
      </c>
      <c r="G85" t="s">
        <v>3083</v>
      </c>
      <c r="H85" s="2">
        <v>2.6937488964672491E-3</v>
      </c>
    </row>
    <row r="86" spans="1:8" x14ac:dyDescent="0.3">
      <c r="A86" t="s">
        <v>617</v>
      </c>
      <c r="B86" t="s">
        <v>618</v>
      </c>
      <c r="C86">
        <v>6</v>
      </c>
      <c r="D86">
        <f t="shared" si="5"/>
        <v>6</v>
      </c>
      <c r="E86" t="str">
        <f t="shared" si="6"/>
        <v/>
      </c>
      <c r="F86" t="str">
        <f t="shared" si="7"/>
        <v>QUESOP/NACHOSRICOS3KG(6)</v>
      </c>
      <c r="G86" t="s">
        <v>2669</v>
      </c>
      <c r="H86" s="2">
        <v>2.5558077609675405E-3</v>
      </c>
    </row>
    <row r="87" spans="1:8" x14ac:dyDescent="0.3">
      <c r="A87" t="s">
        <v>2073</v>
      </c>
      <c r="B87" t="s">
        <v>2074</v>
      </c>
      <c r="C87">
        <v>14</v>
      </c>
      <c r="D87">
        <f t="shared" si="5"/>
        <v>14</v>
      </c>
      <c r="E87" t="str">
        <f t="shared" si="6"/>
        <v/>
      </c>
      <c r="F87" t="str">
        <f t="shared" si="7"/>
        <v>PASTAPENNE/PLUMABARILLA500G(14)</v>
      </c>
      <c r="G87" t="s">
        <v>3396</v>
      </c>
      <c r="H87" s="2">
        <v>2.549831859981404E-3</v>
      </c>
    </row>
    <row r="88" spans="1:8" x14ac:dyDescent="0.3">
      <c r="A88" t="s">
        <v>1398</v>
      </c>
      <c r="B88" t="s">
        <v>1399</v>
      </c>
      <c r="C88">
        <v>6</v>
      </c>
      <c r="D88">
        <f t="shared" si="5"/>
        <v>6</v>
      </c>
      <c r="E88" t="str">
        <f t="shared" si="6"/>
        <v/>
      </c>
      <c r="F88" t="str">
        <f t="shared" si="7"/>
        <v>CHILEJALAPEÑOCOSTEÑA2.8K(6)</v>
      </c>
      <c r="G88" t="s">
        <v>3059</v>
      </c>
      <c r="H88" s="2">
        <v>2.5352067791941024E-3</v>
      </c>
    </row>
    <row r="89" spans="1:8" x14ac:dyDescent="0.3">
      <c r="A89" t="s">
        <v>1171</v>
      </c>
      <c r="B89" t="s">
        <v>1172</v>
      </c>
      <c r="C89">
        <v>1</v>
      </c>
      <c r="D89" t="str">
        <f t="shared" si="5"/>
        <v/>
      </c>
      <c r="E89" t="str">
        <f t="shared" si="6"/>
        <v/>
      </c>
      <c r="F89" t="str">
        <f t="shared" si="7"/>
        <v>JARABEMIELMAPLEHEINZC/72/30G</v>
      </c>
      <c r="G89" t="s">
        <v>2946</v>
      </c>
      <c r="H89" s="2">
        <v>2.5071251860299187E-3</v>
      </c>
    </row>
    <row r="90" spans="1:8" x14ac:dyDescent="0.3">
      <c r="A90" t="s">
        <v>957</v>
      </c>
      <c r="B90" t="s">
        <v>958</v>
      </c>
      <c r="C90">
        <v>24</v>
      </c>
      <c r="D90">
        <f t="shared" si="5"/>
        <v>24</v>
      </c>
      <c r="E90" t="str">
        <f t="shared" si="6"/>
        <v/>
      </c>
      <c r="F90" t="str">
        <f t="shared" si="7"/>
        <v>FRIJOLESRANCHSTYLE425G(24)</v>
      </c>
      <c r="G90" t="s">
        <v>2839</v>
      </c>
      <c r="H90" s="2">
        <v>2.4688507652557415E-3</v>
      </c>
    </row>
    <row r="91" spans="1:8" x14ac:dyDescent="0.3">
      <c r="A91" t="s">
        <v>527</v>
      </c>
      <c r="B91" t="s">
        <v>528</v>
      </c>
      <c r="C91">
        <v>12</v>
      </c>
      <c r="D91">
        <f t="shared" si="5"/>
        <v>12</v>
      </c>
      <c r="E91" t="str">
        <f t="shared" si="6"/>
        <v/>
      </c>
      <c r="F91" t="str">
        <f t="shared" si="7"/>
        <v>#MAYONESACONLIMONMC390G(12)</v>
      </c>
      <c r="G91" t="s">
        <v>2624</v>
      </c>
      <c r="H91" s="2">
        <v>2.4376014415908127E-3</v>
      </c>
    </row>
    <row r="92" spans="1:8" x14ac:dyDescent="0.3">
      <c r="A92" t="s">
        <v>1159</v>
      </c>
      <c r="B92" t="s">
        <v>1160</v>
      </c>
      <c r="C92">
        <v>1</v>
      </c>
      <c r="D92" t="str">
        <f t="shared" si="5"/>
        <v/>
      </c>
      <c r="E92" t="str">
        <f t="shared" si="6"/>
        <v/>
      </c>
      <c r="F92" t="str">
        <f t="shared" si="7"/>
        <v>SALSAKETCHUPHEINZC/192/8G</v>
      </c>
      <c r="G92" t="s">
        <v>2940</v>
      </c>
      <c r="H92" s="2">
        <v>2.4125369254383612E-3</v>
      </c>
    </row>
    <row r="93" spans="1:8" x14ac:dyDescent="0.3">
      <c r="A93" t="s">
        <v>1566</v>
      </c>
      <c r="B93" t="s">
        <v>1567</v>
      </c>
      <c r="C93">
        <v>1</v>
      </c>
      <c r="D93" t="str">
        <f t="shared" si="5"/>
        <v/>
      </c>
      <c r="E93" t="str">
        <f t="shared" si="6"/>
        <v/>
      </c>
      <c r="F93" t="str">
        <f t="shared" si="7"/>
        <v>MANTECAINCA24KCUÑETE</v>
      </c>
      <c r="G93" t="s">
        <v>3143</v>
      </c>
      <c r="H93" s="2">
        <v>2.3851004048608105E-3</v>
      </c>
    </row>
    <row r="94" spans="1:8" x14ac:dyDescent="0.3">
      <c r="A94" t="s">
        <v>1971</v>
      </c>
      <c r="B94" t="s">
        <v>1972</v>
      </c>
      <c r="C94">
        <v>6</v>
      </c>
      <c r="D94">
        <f t="shared" si="5"/>
        <v>6</v>
      </c>
      <c r="E94" t="str">
        <f t="shared" si="6"/>
        <v/>
      </c>
      <c r="F94" t="str">
        <f t="shared" si="7"/>
        <v>KNORRCONSOMEDERES1.6K(6)</v>
      </c>
      <c r="G94" t="s">
        <v>3345</v>
      </c>
      <c r="H94" s="2">
        <v>2.3801037650258827E-3</v>
      </c>
    </row>
    <row r="95" spans="1:8" x14ac:dyDescent="0.3">
      <c r="A95" t="s">
        <v>1638</v>
      </c>
      <c r="B95" t="s">
        <v>1639</v>
      </c>
      <c r="C95">
        <v>2</v>
      </c>
      <c r="D95">
        <f t="shared" si="5"/>
        <v>2</v>
      </c>
      <c r="E95" t="str">
        <f t="shared" si="6"/>
        <v/>
      </c>
      <c r="F95" t="str">
        <f t="shared" si="7"/>
        <v>SALSABECHAMELKNORR4KG.(2)</v>
      </c>
      <c r="G95" t="s">
        <v>3179</v>
      </c>
      <c r="H95" s="2">
        <v>2.3635345897025728E-3</v>
      </c>
    </row>
    <row r="96" spans="1:8" x14ac:dyDescent="0.3">
      <c r="A96" t="s">
        <v>979</v>
      </c>
      <c r="B96" t="s">
        <v>980</v>
      </c>
      <c r="C96">
        <v>24</v>
      </c>
      <c r="D96">
        <f t="shared" si="5"/>
        <v>24</v>
      </c>
      <c r="E96" t="str">
        <f t="shared" si="6"/>
        <v/>
      </c>
      <c r="F96" t="str">
        <f t="shared" si="7"/>
        <v>CHILECHIPOTLEDELMONTE205G(24)</v>
      </c>
      <c r="G96" t="s">
        <v>2850</v>
      </c>
      <c r="H96" s="2">
        <v>2.3060632988946648E-3</v>
      </c>
    </row>
    <row r="97" spans="1:8" x14ac:dyDescent="0.3">
      <c r="A97" t="s">
        <v>1939</v>
      </c>
      <c r="B97" t="s">
        <v>1940</v>
      </c>
      <c r="C97">
        <v>4</v>
      </c>
      <c r="D97">
        <f t="shared" si="5"/>
        <v>4</v>
      </c>
      <c r="E97" t="str">
        <f t="shared" si="6"/>
        <v/>
      </c>
      <c r="F97" t="str">
        <f t="shared" si="7"/>
        <v>ADEREZORANCHHELLMANN´S3.8KG(4)EC</v>
      </c>
      <c r="G97" t="s">
        <v>3329</v>
      </c>
      <c r="H97" s="2">
        <v>2.2878073453508306E-3</v>
      </c>
    </row>
    <row r="98" spans="1:8" x14ac:dyDescent="0.3">
      <c r="A98" t="s">
        <v>1173</v>
      </c>
      <c r="B98" t="s">
        <v>1174</v>
      </c>
      <c r="C98">
        <v>1</v>
      </c>
      <c r="D98" t="str">
        <f t="shared" si="5"/>
        <v/>
      </c>
      <c r="E98" t="str">
        <f t="shared" si="6"/>
        <v/>
      </c>
      <c r="F98" t="str">
        <f t="shared" si="7"/>
        <v>MERMELADAFRESAABAL/HEINZC/120/20G</v>
      </c>
      <c r="G98" t="s">
        <v>2947</v>
      </c>
      <c r="H98" s="2">
        <v>2.2772083916210934E-3</v>
      </c>
    </row>
    <row r="99" spans="1:8" x14ac:dyDescent="0.3">
      <c r="A99" t="s">
        <v>1370</v>
      </c>
      <c r="B99" t="s">
        <v>1371</v>
      </c>
      <c r="C99">
        <v>12</v>
      </c>
      <c r="D99">
        <f t="shared" si="5"/>
        <v>12</v>
      </c>
      <c r="E99" t="str">
        <f t="shared" si="6"/>
        <v/>
      </c>
      <c r="F99" t="str">
        <f t="shared" si="7"/>
        <v>PURETOMATEFUERTECOND.BRICK1KG(12)</v>
      </c>
      <c r="G99" t="s">
        <v>3045</v>
      </c>
      <c r="H99" s="2">
        <v>2.2648863446298084E-3</v>
      </c>
    </row>
    <row r="100" spans="1:8" x14ac:dyDescent="0.3">
      <c r="A100" t="s">
        <v>1933</v>
      </c>
      <c r="B100" t="s">
        <v>1934</v>
      </c>
      <c r="C100">
        <v>6</v>
      </c>
      <c r="D100">
        <f t="shared" si="5"/>
        <v>6</v>
      </c>
      <c r="E100" t="str">
        <f t="shared" si="6"/>
        <v/>
      </c>
      <c r="F100" t="str">
        <f t="shared" si="7"/>
        <v>PUREPAPAKNORR800GR.(6)</v>
      </c>
      <c r="G100" t="s">
        <v>3326</v>
      </c>
      <c r="H100" s="2">
        <v>2.2293083062272265E-3</v>
      </c>
    </row>
    <row r="101" spans="1:8" x14ac:dyDescent="0.3">
      <c r="A101" t="s">
        <v>2187</v>
      </c>
      <c r="B101" t="s">
        <v>2188</v>
      </c>
      <c r="C101">
        <v>1</v>
      </c>
      <c r="D101" t="str">
        <f t="shared" si="5"/>
        <v/>
      </c>
      <c r="E101" t="str">
        <f t="shared" si="6"/>
        <v/>
      </c>
      <c r="F101" t="str">
        <f t="shared" si="7"/>
        <v>LECHELALECHERANESTLE25.5K</v>
      </c>
      <c r="G101" t="s">
        <v>3453</v>
      </c>
      <c r="H101" s="2">
        <v>2.2146617737043009E-3</v>
      </c>
    </row>
    <row r="102" spans="1:8" x14ac:dyDescent="0.3">
      <c r="A102" t="s">
        <v>1432</v>
      </c>
      <c r="B102" t="s">
        <v>1433</v>
      </c>
      <c r="C102">
        <v>12</v>
      </c>
      <c r="D102">
        <f t="shared" si="5"/>
        <v>12</v>
      </c>
      <c r="E102" t="str">
        <f t="shared" si="6"/>
        <v/>
      </c>
      <c r="F102" t="str">
        <f t="shared" si="7"/>
        <v>FLANVAINILLACARTED'OR700G(12)</v>
      </c>
      <c r="G102" t="s">
        <v>3076</v>
      </c>
      <c r="H102" s="2">
        <v>2.2136717431604906E-3</v>
      </c>
    </row>
    <row r="103" spans="1:8" x14ac:dyDescent="0.3">
      <c r="A103" t="s">
        <v>83</v>
      </c>
      <c r="B103" t="s">
        <v>84</v>
      </c>
      <c r="C103">
        <v>4</v>
      </c>
      <c r="D103">
        <f t="shared" si="5"/>
        <v>4</v>
      </c>
      <c r="E103" t="str">
        <f t="shared" si="6"/>
        <v/>
      </c>
      <c r="F103" t="str">
        <f t="shared" si="7"/>
        <v>ACEITEOLIVAPUROINES5L(4)</v>
      </c>
      <c r="G103" t="s">
        <v>2402</v>
      </c>
      <c r="H103" s="2">
        <v>2.1761955323020741E-3</v>
      </c>
    </row>
    <row r="104" spans="1:8" x14ac:dyDescent="0.3">
      <c r="A104" t="s">
        <v>1743</v>
      </c>
      <c r="B104" t="s">
        <v>1744</v>
      </c>
      <c r="C104">
        <v>4</v>
      </c>
      <c r="D104">
        <f t="shared" si="5"/>
        <v>4</v>
      </c>
      <c r="E104" t="str">
        <f t="shared" si="6"/>
        <v/>
      </c>
      <c r="F104" t="str">
        <f t="shared" si="7"/>
        <v>MAYONESAMC3.4K(4)</v>
      </c>
      <c r="G104" t="s">
        <v>3231</v>
      </c>
      <c r="H104" s="2">
        <v>2.1653747317148171E-3</v>
      </c>
    </row>
    <row r="105" spans="1:8" x14ac:dyDescent="0.3">
      <c r="A105" t="s">
        <v>1303</v>
      </c>
      <c r="B105" t="s">
        <v>1304</v>
      </c>
      <c r="C105">
        <v>6</v>
      </c>
      <c r="D105">
        <f t="shared" si="5"/>
        <v>6</v>
      </c>
      <c r="E105" t="str">
        <f t="shared" si="6"/>
        <v/>
      </c>
      <c r="F105" t="str">
        <f t="shared" si="7"/>
        <v>CONDIMIXPOLLO3.6K(6)</v>
      </c>
      <c r="G105" t="s">
        <v>3012</v>
      </c>
      <c r="H105" s="2">
        <v>2.0937919088361285E-3</v>
      </c>
    </row>
    <row r="106" spans="1:8" x14ac:dyDescent="0.3">
      <c r="A106" t="s">
        <v>1534</v>
      </c>
      <c r="B106" t="s">
        <v>1535</v>
      </c>
      <c r="C106">
        <v>12</v>
      </c>
      <c r="D106">
        <f t="shared" si="5"/>
        <v>12</v>
      </c>
      <c r="E106" t="str">
        <f t="shared" si="6"/>
        <v/>
      </c>
      <c r="F106" t="str">
        <f t="shared" si="7"/>
        <v>GALLETASMARIASGAMESA850G(12)</v>
      </c>
      <c r="G106" t="s">
        <v>3127</v>
      </c>
      <c r="H106" s="2">
        <v>2.0843874827138629E-3</v>
      </c>
    </row>
    <row r="107" spans="1:8" x14ac:dyDescent="0.3">
      <c r="A107" t="s">
        <v>355</v>
      </c>
      <c r="B107" t="s">
        <v>356</v>
      </c>
      <c r="C107">
        <v>1</v>
      </c>
      <c r="D107" t="str">
        <f t="shared" si="5"/>
        <v/>
      </c>
      <c r="E107" t="str">
        <f t="shared" si="6"/>
        <v/>
      </c>
      <c r="F107" t="str">
        <f t="shared" si="7"/>
        <v>AZUCARMORENAESTANDAR25KG</v>
      </c>
      <c r="G107" t="s">
        <v>2538</v>
      </c>
      <c r="H107" s="2">
        <v>2.0589220567984001E-3</v>
      </c>
    </row>
    <row r="108" spans="1:8" x14ac:dyDescent="0.3">
      <c r="A108" t="s">
        <v>1400</v>
      </c>
      <c r="B108" t="s">
        <v>1401</v>
      </c>
      <c r="C108">
        <v>6</v>
      </c>
      <c r="D108">
        <f t="shared" si="5"/>
        <v>6</v>
      </c>
      <c r="E108" t="str">
        <f t="shared" si="6"/>
        <v/>
      </c>
      <c r="F108" t="str">
        <f t="shared" si="7"/>
        <v>CHILERAJASCOSTEÑA2.8K(6)</v>
      </c>
      <c r="G108" t="s">
        <v>3060</v>
      </c>
      <c r="H108" s="2">
        <v>2.0572913641310831E-3</v>
      </c>
    </row>
    <row r="109" spans="1:8" x14ac:dyDescent="0.3">
      <c r="A109" t="s">
        <v>2179</v>
      </c>
      <c r="B109" t="s">
        <v>2180</v>
      </c>
      <c r="C109">
        <v>24</v>
      </c>
      <c r="D109">
        <f t="shared" si="5"/>
        <v>24</v>
      </c>
      <c r="E109" t="str">
        <f t="shared" si="6"/>
        <v/>
      </c>
      <c r="F109" t="str">
        <f t="shared" si="7"/>
        <v>CHOCOLATEABUELITAC/6/90G(24)EXAG</v>
      </c>
      <c r="G109" t="s">
        <v>3449</v>
      </c>
      <c r="H109" s="2">
        <v>2.0144664027986724E-3</v>
      </c>
    </row>
    <row r="110" spans="1:8" x14ac:dyDescent="0.3">
      <c r="A110" t="s">
        <v>1107</v>
      </c>
      <c r="B110" t="s">
        <v>1108</v>
      </c>
      <c r="C110">
        <v>12</v>
      </c>
      <c r="D110">
        <f t="shared" si="5"/>
        <v>12</v>
      </c>
      <c r="E110" t="str">
        <f t="shared" si="6"/>
        <v/>
      </c>
      <c r="F110" t="str">
        <f t="shared" si="7"/>
        <v>JUGONARANJAJUMEX960ML(12)TETRA</v>
      </c>
      <c r="G110" t="s">
        <v>2914</v>
      </c>
      <c r="H110" s="2">
        <v>1.9812276397259019E-3</v>
      </c>
    </row>
    <row r="111" spans="1:8" x14ac:dyDescent="0.3">
      <c r="A111" t="s">
        <v>1378</v>
      </c>
      <c r="B111" t="s">
        <v>1379</v>
      </c>
      <c r="C111">
        <v>12</v>
      </c>
      <c r="D111">
        <f t="shared" si="5"/>
        <v>12</v>
      </c>
      <c r="E111" t="str">
        <f t="shared" si="6"/>
        <v/>
      </c>
      <c r="F111" t="str">
        <f t="shared" si="7"/>
        <v>ACEITENUTRIOLI800ML(12)</v>
      </c>
      <c r="G111" t="s">
        <v>3049</v>
      </c>
      <c r="H111" s="2">
        <v>1.9637290351909253E-3</v>
      </c>
    </row>
    <row r="112" spans="1:8" x14ac:dyDescent="0.3">
      <c r="A112" t="s">
        <v>151</v>
      </c>
      <c r="B112" t="s">
        <v>152</v>
      </c>
      <c r="C112">
        <v>12</v>
      </c>
      <c r="D112">
        <f t="shared" si="5"/>
        <v>12</v>
      </c>
      <c r="E112" t="str">
        <f t="shared" si="6"/>
        <v/>
      </c>
      <c r="F112" t="str">
        <f t="shared" ref="F112:F148" si="8">SUBSTITUTE(UPPER(CLEAN(B112))," ","")</f>
        <v>PIÑACOLADAMIXCALAHUA1L(12)</v>
      </c>
      <c r="G112" t="s">
        <v>2436</v>
      </c>
      <c r="H112" s="2">
        <v>1.9537007679774772E-3</v>
      </c>
    </row>
    <row r="113" spans="1:8" x14ac:dyDescent="0.3">
      <c r="A113" t="s">
        <v>1422</v>
      </c>
      <c r="B113" t="s">
        <v>1423</v>
      </c>
      <c r="C113">
        <v>12</v>
      </c>
      <c r="D113">
        <f t="shared" si="5"/>
        <v>12</v>
      </c>
      <c r="E113" t="str">
        <f t="shared" si="6"/>
        <v/>
      </c>
      <c r="F113" t="str">
        <f t="shared" si="8"/>
        <v>GELATINAAGUAFRESACARTED'OR600G(12</v>
      </c>
      <c r="G113" t="s">
        <v>3071</v>
      </c>
      <c r="H113" s="2">
        <v>1.94178377829156E-3</v>
      </c>
    </row>
    <row r="114" spans="1:8" x14ac:dyDescent="0.3">
      <c r="A114" t="s">
        <v>1943</v>
      </c>
      <c r="B114" t="s">
        <v>1944</v>
      </c>
      <c r="C114">
        <v>4</v>
      </c>
      <c r="D114">
        <f t="shared" si="5"/>
        <v>4</v>
      </c>
      <c r="E114" t="str">
        <f t="shared" si="6"/>
        <v/>
      </c>
      <c r="F114" t="str">
        <f t="shared" si="8"/>
        <v>ADEREZORANCHHELLMANN´S3.7KG(4)</v>
      </c>
      <c r="G114" t="s">
        <v>3331</v>
      </c>
      <c r="H114" s="2">
        <v>1.9216623216177452E-3</v>
      </c>
    </row>
    <row r="115" spans="1:8" x14ac:dyDescent="0.3">
      <c r="A115" t="s">
        <v>585</v>
      </c>
      <c r="B115" t="s">
        <v>586</v>
      </c>
      <c r="C115">
        <v>20</v>
      </c>
      <c r="D115">
        <f t="shared" si="5"/>
        <v>20</v>
      </c>
      <c r="E115" t="str">
        <f t="shared" si="6"/>
        <v/>
      </c>
      <c r="F115" t="str">
        <f t="shared" si="8"/>
        <v>PASTAFIORDIP.SPAGHETTI200GR(20)</v>
      </c>
      <c r="G115" t="s">
        <v>2653</v>
      </c>
      <c r="H115" s="2">
        <v>1.8988809577851981E-3</v>
      </c>
    </row>
    <row r="116" spans="1:8" x14ac:dyDescent="0.3">
      <c r="A116" t="s">
        <v>1293</v>
      </c>
      <c r="B116" t="s">
        <v>1294</v>
      </c>
      <c r="C116">
        <v>1</v>
      </c>
      <c r="D116" t="str">
        <f t="shared" si="5"/>
        <v/>
      </c>
      <c r="E116" t="str">
        <f t="shared" si="6"/>
        <v/>
      </c>
      <c r="F116" t="str">
        <f t="shared" si="8"/>
        <v>MAYONESAROYALHEINZC/500/8GPORCION</v>
      </c>
      <c r="G116" t="s">
        <v>3007</v>
      </c>
      <c r="H116" s="2">
        <v>1.8752048529952225E-3</v>
      </c>
    </row>
    <row r="117" spans="1:8" x14ac:dyDescent="0.3">
      <c r="A117" t="s">
        <v>1325</v>
      </c>
      <c r="B117" t="s">
        <v>1326</v>
      </c>
      <c r="C117">
        <v>24</v>
      </c>
      <c r="D117">
        <f t="shared" si="5"/>
        <v>24</v>
      </c>
      <c r="E117" t="str">
        <f t="shared" si="6"/>
        <v/>
      </c>
      <c r="F117" t="str">
        <f t="shared" si="8"/>
        <v>MOLEDOÑAMARIA235GR.(24)</v>
      </c>
      <c r="G117" t="s">
        <v>3023</v>
      </c>
      <c r="H117" s="2">
        <v>1.8583349639041352E-3</v>
      </c>
    </row>
    <row r="118" spans="1:8" x14ac:dyDescent="0.3">
      <c r="A118" t="s">
        <v>1111</v>
      </c>
      <c r="B118" t="s">
        <v>1112</v>
      </c>
      <c r="C118">
        <v>12</v>
      </c>
      <c r="D118">
        <f t="shared" si="5"/>
        <v>12</v>
      </c>
      <c r="E118" t="str">
        <f t="shared" si="6"/>
        <v/>
      </c>
      <c r="F118" t="str">
        <f t="shared" si="8"/>
        <v>JUGOMANZANACLARI.JUMEX960ML(12)TETR</v>
      </c>
      <c r="G118" t="s">
        <v>2916</v>
      </c>
      <c r="H118" s="2">
        <v>1.8366298356614745E-3</v>
      </c>
    </row>
    <row r="119" spans="1:8" x14ac:dyDescent="0.3">
      <c r="A119" t="s">
        <v>343</v>
      </c>
      <c r="B119" t="s">
        <v>344</v>
      </c>
      <c r="C119">
        <v>1</v>
      </c>
      <c r="D119" t="str">
        <f t="shared" si="5"/>
        <v/>
      </c>
      <c r="E119" t="str">
        <f t="shared" si="6"/>
        <v/>
      </c>
      <c r="F119" t="str">
        <f t="shared" si="8"/>
        <v>AZUCARMARINOC/1000/4GPORCION</v>
      </c>
      <c r="G119" t="s">
        <v>2532</v>
      </c>
      <c r="H119" s="2">
        <v>1.8270454958440241E-3</v>
      </c>
    </row>
    <row r="120" spans="1:8" x14ac:dyDescent="0.3">
      <c r="A120" t="s">
        <v>1255</v>
      </c>
      <c r="B120" t="s">
        <v>1256</v>
      </c>
      <c r="C120">
        <v>24</v>
      </c>
      <c r="D120">
        <f t="shared" si="5"/>
        <v>24</v>
      </c>
      <c r="E120" t="str">
        <f t="shared" si="6"/>
        <v/>
      </c>
      <c r="F120" t="str">
        <f t="shared" si="8"/>
        <v>SALSAINGLESAC/B145ML(24)</v>
      </c>
      <c r="G120" t="s">
        <v>2988</v>
      </c>
      <c r="H120" s="2">
        <v>1.813925807459979E-3</v>
      </c>
    </row>
    <row r="121" spans="1:8" x14ac:dyDescent="0.3">
      <c r="A121" t="s">
        <v>1745</v>
      </c>
      <c r="B121" t="s">
        <v>1746</v>
      </c>
      <c r="C121">
        <v>1</v>
      </c>
      <c r="D121" t="str">
        <f t="shared" si="5"/>
        <v/>
      </c>
      <c r="E121" t="str">
        <f t="shared" si="6"/>
        <v/>
      </c>
      <c r="F121" t="str">
        <f t="shared" si="8"/>
        <v>MAYONESACONLIMONMC13KG</v>
      </c>
      <c r="G121" t="s">
        <v>3232</v>
      </c>
      <c r="H121" s="2">
        <v>1.7964025848478035E-3</v>
      </c>
    </row>
    <row r="122" spans="1:8" x14ac:dyDescent="0.3">
      <c r="A122" t="s">
        <v>2109</v>
      </c>
      <c r="B122" t="s">
        <v>2110</v>
      </c>
      <c r="C122">
        <v>24</v>
      </c>
      <c r="D122">
        <f t="shared" si="5"/>
        <v>24</v>
      </c>
      <c r="E122" t="str">
        <f t="shared" si="6"/>
        <v/>
      </c>
      <c r="F122" t="str">
        <f t="shared" si="8"/>
        <v>PASTAYEMINACODONO.1200GR(24)</v>
      </c>
      <c r="G122" t="s">
        <v>3414</v>
      </c>
      <c r="H122" s="2">
        <v>1.7920694736785828E-3</v>
      </c>
    </row>
    <row r="123" spans="1:8" x14ac:dyDescent="0.3">
      <c r="A123" t="s">
        <v>139</v>
      </c>
      <c r="B123" t="s">
        <v>140</v>
      </c>
      <c r="C123">
        <v>6</v>
      </c>
      <c r="D123">
        <f t="shared" si="5"/>
        <v>6</v>
      </c>
      <c r="E123" t="str">
        <f t="shared" si="6"/>
        <v/>
      </c>
      <c r="F123" t="str">
        <f t="shared" si="8"/>
        <v>ATUNENAGUADORADO1.8KG(6)</v>
      </c>
      <c r="G123" t="s">
        <v>2430</v>
      </c>
      <c r="H123" s="2">
        <v>1.7798552825778189E-3</v>
      </c>
    </row>
    <row r="124" spans="1:8" x14ac:dyDescent="0.3">
      <c r="A124" t="s">
        <v>201</v>
      </c>
      <c r="B124" t="s">
        <v>202</v>
      </c>
      <c r="C124">
        <v>6</v>
      </c>
      <c r="D124">
        <f t="shared" si="5"/>
        <v>6</v>
      </c>
      <c r="E124" t="str">
        <f t="shared" si="6"/>
        <v/>
      </c>
      <c r="F124" t="str">
        <f t="shared" si="8"/>
        <v>CHILEJALAPEÑOELMEXICANO2.8K(6)</v>
      </c>
      <c r="G124" t="s">
        <v>2461</v>
      </c>
      <c r="H124" s="2">
        <v>1.7767687411281794E-3</v>
      </c>
    </row>
    <row r="125" spans="1:8" x14ac:dyDescent="0.3">
      <c r="A125" t="s">
        <v>1921</v>
      </c>
      <c r="B125" t="s">
        <v>1922</v>
      </c>
      <c r="C125">
        <v>1</v>
      </c>
      <c r="D125" t="str">
        <f t="shared" si="5"/>
        <v/>
      </c>
      <c r="E125" t="str">
        <f t="shared" si="6"/>
        <v/>
      </c>
      <c r="F125" t="str">
        <f t="shared" si="8"/>
        <v>HARINAHOTCAKESCARTED'OR5K</v>
      </c>
      <c r="G125" t="s">
        <v>3320</v>
      </c>
      <c r="H125" s="2">
        <v>1.7745910623099121E-3</v>
      </c>
    </row>
    <row r="126" spans="1:8" x14ac:dyDescent="0.3">
      <c r="A126" t="s">
        <v>1253</v>
      </c>
      <c r="B126" t="s">
        <v>1254</v>
      </c>
      <c r="C126">
        <v>24</v>
      </c>
      <c r="D126">
        <f t="shared" si="5"/>
        <v>24</v>
      </c>
      <c r="E126" t="str">
        <f t="shared" si="6"/>
        <v/>
      </c>
      <c r="F126" t="str">
        <f t="shared" si="8"/>
        <v>JUGOMAGGI100ML(24)</v>
      </c>
      <c r="G126" t="s">
        <v>2987</v>
      </c>
      <c r="H126" s="2">
        <v>1.7594869830925861E-3</v>
      </c>
    </row>
    <row r="127" spans="1:8" x14ac:dyDescent="0.3">
      <c r="A127" t="s">
        <v>1722</v>
      </c>
      <c r="B127" t="s">
        <v>1723</v>
      </c>
      <c r="C127">
        <v>48</v>
      </c>
      <c r="D127">
        <f t="shared" si="5"/>
        <v>48</v>
      </c>
      <c r="E127" t="str">
        <f t="shared" si="6"/>
        <v/>
      </c>
      <c r="F127" t="str">
        <f t="shared" si="8"/>
        <v>ATUNENAGUATUNY130G(48)</v>
      </c>
      <c r="G127" t="s">
        <v>3221</v>
      </c>
      <c r="H127" s="2">
        <v>1.7409487303357606E-3</v>
      </c>
    </row>
    <row r="128" spans="1:8" x14ac:dyDescent="0.3">
      <c r="A128" t="s">
        <v>1414</v>
      </c>
      <c r="B128" t="s">
        <v>1415</v>
      </c>
      <c r="C128">
        <v>12</v>
      </c>
      <c r="D128">
        <f t="shared" si="5"/>
        <v>12</v>
      </c>
      <c r="E128" t="str">
        <f t="shared" si="6"/>
        <v/>
      </c>
      <c r="F128" t="str">
        <f t="shared" si="8"/>
        <v>GELATINAAGUALIMONCARTED'OR600G(12)</v>
      </c>
      <c r="G128" t="s">
        <v>3067</v>
      </c>
      <c r="H128" s="2">
        <v>1.7367039269984028E-3</v>
      </c>
    </row>
    <row r="129" spans="1:8" x14ac:dyDescent="0.3">
      <c r="A129" t="s">
        <v>1065</v>
      </c>
      <c r="B129" t="s">
        <v>1066</v>
      </c>
      <c r="C129">
        <v>8</v>
      </c>
      <c r="D129">
        <f t="shared" si="5"/>
        <v>8</v>
      </c>
      <c r="E129" t="str">
        <f t="shared" si="6"/>
        <v/>
      </c>
      <c r="F129" t="str">
        <f t="shared" si="8"/>
        <v>COCTELTOMATE/ALMEJACLAMATO1.89L(8)</v>
      </c>
      <c r="G129" t="s">
        <v>2893</v>
      </c>
      <c r="H129" s="2">
        <v>1.7277266545675056E-3</v>
      </c>
    </row>
    <row r="130" spans="1:8" x14ac:dyDescent="0.3">
      <c r="A130" t="s">
        <v>2105</v>
      </c>
      <c r="B130" t="s">
        <v>2106</v>
      </c>
      <c r="C130">
        <v>24</v>
      </c>
      <c r="D130">
        <f t="shared" ref="D130:D193" si="9">IFERROR(VALUE(IFERROR(
    MID(G130,FIND("(",G130)+1,FIND(")",G130)-FIND("(",G130)-1),
    IFERROR(
        MID(G130,FIND("(",G130)+1,LEN(G130)-FIND("(",G130)),
        ""
    )
)),"")</f>
        <v>24</v>
      </c>
      <c r="E130" t="str">
        <f t="shared" ref="E130:E193" si="10">IFERROR(VALUE(MID(SUBSTITUTE(G130," ",""),
FIND("/",SUBSTITUTE(G130," ",""))+1,
MIN(IFERROR(FIND("PZS",SUBSTITUTE(G130," ","")),999),
    IFERROR(FIND("PZA",SUBSTITUTE(G130," ","")),999))
-FIND("/",SUBSTITUTE(G130," ",""))-1)),"")</f>
        <v/>
      </c>
      <c r="F130" t="str">
        <f t="shared" si="8"/>
        <v>PASTAYEMINAFIDEOMED.200GR(24)</v>
      </c>
      <c r="G130" t="s">
        <v>3412</v>
      </c>
      <c r="H130" s="2">
        <v>1.7249574231849971E-3</v>
      </c>
    </row>
    <row r="131" spans="1:8" x14ac:dyDescent="0.3">
      <c r="A131" t="s">
        <v>1412</v>
      </c>
      <c r="B131" t="s">
        <v>1413</v>
      </c>
      <c r="C131">
        <v>12</v>
      </c>
      <c r="D131">
        <f t="shared" si="9"/>
        <v>12</v>
      </c>
      <c r="E131" t="str">
        <f t="shared" si="10"/>
        <v/>
      </c>
      <c r="F131" t="str">
        <f t="shared" si="8"/>
        <v>GELATINAAGUAPIÑACARTED'OR600G(12)</v>
      </c>
      <c r="G131" t="s">
        <v>3066</v>
      </c>
      <c r="H131" s="2">
        <v>1.6934831963763223E-3</v>
      </c>
    </row>
    <row r="132" spans="1:8" x14ac:dyDescent="0.3">
      <c r="A132" t="s">
        <v>1785</v>
      </c>
      <c r="B132" t="s">
        <v>1786</v>
      </c>
      <c r="C132">
        <v>4</v>
      </c>
      <c r="D132">
        <f t="shared" si="9"/>
        <v>4</v>
      </c>
      <c r="E132" t="str">
        <f t="shared" si="10"/>
        <v/>
      </c>
      <c r="F132" t="str">
        <f t="shared" si="8"/>
        <v>SALSAREDHOTWINGSALITAS3.78L(4)</v>
      </c>
      <c r="G132" t="s">
        <v>3252</v>
      </c>
      <c r="H132" s="2">
        <v>1.6835396111037227E-3</v>
      </c>
    </row>
    <row r="133" spans="1:8" x14ac:dyDescent="0.3">
      <c r="A133" t="s">
        <v>1063</v>
      </c>
      <c r="B133" t="s">
        <v>1064</v>
      </c>
      <c r="C133">
        <v>12</v>
      </c>
      <c r="D133">
        <f t="shared" si="9"/>
        <v>12</v>
      </c>
      <c r="E133" t="str">
        <f t="shared" si="10"/>
        <v/>
      </c>
      <c r="F133" t="str">
        <f t="shared" si="8"/>
        <v>COCTELTOMATE/ALMEJACLAMATO946ML(12</v>
      </c>
      <c r="G133" t="s">
        <v>2892</v>
      </c>
      <c r="H133" s="2">
        <v>1.677251339186991E-3</v>
      </c>
    </row>
    <row r="134" spans="1:8" x14ac:dyDescent="0.3">
      <c r="A134" t="s">
        <v>1979</v>
      </c>
      <c r="B134" t="s">
        <v>1980</v>
      </c>
      <c r="C134">
        <v>4</v>
      </c>
      <c r="D134">
        <f t="shared" si="9"/>
        <v>4</v>
      </c>
      <c r="E134" t="str">
        <f t="shared" si="10"/>
        <v/>
      </c>
      <c r="F134" t="str">
        <f t="shared" si="8"/>
        <v>ADEREZOCESARHELLMANN´S3.8KG(4)</v>
      </c>
      <c r="G134" t="s">
        <v>3349</v>
      </c>
      <c r="H134" s="2">
        <v>1.6770030312337561E-3</v>
      </c>
    </row>
    <row r="135" spans="1:8" x14ac:dyDescent="0.3">
      <c r="A135" t="s">
        <v>819</v>
      </c>
      <c r="B135" t="s">
        <v>820</v>
      </c>
      <c r="C135">
        <v>1</v>
      </c>
      <c r="D135" t="str">
        <f t="shared" si="9"/>
        <v/>
      </c>
      <c r="E135" t="str">
        <f t="shared" si="10"/>
        <v/>
      </c>
      <c r="F135" t="str">
        <f t="shared" si="8"/>
        <v>DETERGENTEARCOIRIS1/9KG.</v>
      </c>
      <c r="G135" t="s">
        <v>2770</v>
      </c>
      <c r="H135" s="2">
        <v>1.6696168985457674E-3</v>
      </c>
    </row>
    <row r="136" spans="1:8" x14ac:dyDescent="0.3">
      <c r="A136" t="s">
        <v>2301</v>
      </c>
      <c r="B136" t="s">
        <v>2302</v>
      </c>
      <c r="C136">
        <v>6</v>
      </c>
      <c r="D136">
        <f t="shared" si="9"/>
        <v>6</v>
      </c>
      <c r="E136" t="str">
        <f t="shared" si="10"/>
        <v/>
      </c>
      <c r="F136" t="str">
        <f t="shared" si="8"/>
        <v>MAYONESASTARVALUEBAJAGRASA3.45K(6)</v>
      </c>
      <c r="G136" t="s">
        <v>3510</v>
      </c>
      <c r="H136" s="2">
        <v>1.6694088314328924E-3</v>
      </c>
    </row>
    <row r="137" spans="1:8" x14ac:dyDescent="0.3">
      <c r="A137" t="s">
        <v>1482</v>
      </c>
      <c r="B137" t="s">
        <v>1483</v>
      </c>
      <c r="C137">
        <v>12</v>
      </c>
      <c r="D137">
        <f t="shared" si="9"/>
        <v>12</v>
      </c>
      <c r="E137" t="str">
        <f t="shared" si="10"/>
        <v/>
      </c>
      <c r="F137" t="str">
        <f t="shared" si="8"/>
        <v>PASTATORNILLO/FUSILLIBARILLA500G(12)</v>
      </c>
      <c r="G137" t="s">
        <v>3101</v>
      </c>
      <c r="H137" s="2">
        <v>1.6675616115732947E-3</v>
      </c>
    </row>
    <row r="138" spans="1:8" x14ac:dyDescent="0.3">
      <c r="A138" t="s">
        <v>1215</v>
      </c>
      <c r="B138" t="s">
        <v>1216</v>
      </c>
      <c r="C138">
        <v>6</v>
      </c>
      <c r="D138">
        <f t="shared" si="9"/>
        <v>6</v>
      </c>
      <c r="E138" t="str">
        <f t="shared" si="10"/>
        <v/>
      </c>
      <c r="F138" t="str">
        <f t="shared" si="8"/>
        <v>SALSAKETCHUPHEINZPOUCH3K(6)</v>
      </c>
      <c r="G138" t="s">
        <v>2968</v>
      </c>
      <c r="H138" s="2">
        <v>1.6358607539047445E-3</v>
      </c>
    </row>
    <row r="139" spans="1:8" x14ac:dyDescent="0.3">
      <c r="A139" t="s">
        <v>2337</v>
      </c>
      <c r="B139" t="s">
        <v>2338</v>
      </c>
      <c r="C139">
        <v>12</v>
      </c>
      <c r="D139">
        <f t="shared" si="9"/>
        <v>12</v>
      </c>
      <c r="E139" t="str">
        <f t="shared" si="10"/>
        <v/>
      </c>
      <c r="F139" t="str">
        <f t="shared" si="8"/>
        <v>SALSAENPOLVOTAJIN400G(12)</v>
      </c>
      <c r="G139" t="s">
        <v>3528</v>
      </c>
      <c r="H139" s="2">
        <v>1.6176392449719476E-3</v>
      </c>
    </row>
    <row r="140" spans="1:8" x14ac:dyDescent="0.3">
      <c r="A140" t="s">
        <v>397</v>
      </c>
      <c r="B140" t="s">
        <v>398</v>
      </c>
      <c r="C140">
        <v>4</v>
      </c>
      <c r="D140">
        <f t="shared" si="9"/>
        <v>4</v>
      </c>
      <c r="E140" t="str">
        <f t="shared" si="10"/>
        <v/>
      </c>
      <c r="F140" t="str">
        <f t="shared" si="8"/>
        <v>CEREZAMARASCHINODIANA4.150K(4)</v>
      </c>
      <c r="G140" t="s">
        <v>2559</v>
      </c>
      <c r="H140" s="2">
        <v>1.605451210138226E-3</v>
      </c>
    </row>
    <row r="141" spans="1:8" x14ac:dyDescent="0.3">
      <c r="A141" t="s">
        <v>719</v>
      </c>
      <c r="B141" t="s">
        <v>720</v>
      </c>
      <c r="C141">
        <v>4</v>
      </c>
      <c r="D141">
        <f t="shared" si="9"/>
        <v>4</v>
      </c>
      <c r="E141" t="str">
        <f t="shared" si="10"/>
        <v/>
      </c>
      <c r="F141" t="str">
        <f t="shared" si="8"/>
        <v>VINAGREMANZANACIERVO4LTS(4)</v>
      </c>
      <c r="G141" t="s">
        <v>2720</v>
      </c>
      <c r="H141" s="2">
        <v>1.6010899273991457E-3</v>
      </c>
    </row>
    <row r="142" spans="1:8" x14ac:dyDescent="0.3">
      <c r="A142" t="s">
        <v>131</v>
      </c>
      <c r="B142" t="s">
        <v>132</v>
      </c>
      <c r="C142">
        <v>10</v>
      </c>
      <c r="D142">
        <f t="shared" si="9"/>
        <v>10</v>
      </c>
      <c r="E142" t="str">
        <f t="shared" si="10"/>
        <v/>
      </c>
      <c r="F142" t="str">
        <f t="shared" si="8"/>
        <v>ARROZDIAMANTE900GR(10)</v>
      </c>
      <c r="G142" t="s">
        <v>2426</v>
      </c>
      <c r="H142" s="2">
        <v>1.5907786572994067E-3</v>
      </c>
    </row>
    <row r="143" spans="1:8" x14ac:dyDescent="0.3">
      <c r="A143" t="s">
        <v>1313</v>
      </c>
      <c r="B143" t="s">
        <v>1314</v>
      </c>
      <c r="C143">
        <v>4</v>
      </c>
      <c r="D143">
        <f t="shared" si="9"/>
        <v>4</v>
      </c>
      <c r="E143" t="str">
        <f t="shared" si="10"/>
        <v/>
      </c>
      <c r="F143" t="str">
        <f t="shared" si="8"/>
        <v>QUESOPARMESANOKRAFT2.04KG(4)</v>
      </c>
      <c r="G143" t="s">
        <v>3017</v>
      </c>
      <c r="H143" s="2">
        <v>1.5882388724780207E-3</v>
      </c>
    </row>
    <row r="144" spans="1:8" x14ac:dyDescent="0.3">
      <c r="A144" t="s">
        <v>1271</v>
      </c>
      <c r="B144" t="s">
        <v>1272</v>
      </c>
      <c r="C144">
        <v>24</v>
      </c>
      <c r="D144">
        <f t="shared" si="9"/>
        <v>24</v>
      </c>
      <c r="E144" t="str">
        <f t="shared" si="10"/>
        <v/>
      </c>
      <c r="F144" t="str">
        <f t="shared" si="8"/>
        <v>SALSATABASCO60ML.(24)</v>
      </c>
      <c r="G144" t="s">
        <v>2996</v>
      </c>
      <c r="H144" s="2">
        <v>1.5792470162243487E-3</v>
      </c>
    </row>
    <row r="145" spans="1:8" x14ac:dyDescent="0.3">
      <c r="A145" t="s">
        <v>1017</v>
      </c>
      <c r="B145" t="s">
        <v>1018</v>
      </c>
      <c r="C145">
        <v>24</v>
      </c>
      <c r="D145">
        <f t="shared" si="9"/>
        <v>24</v>
      </c>
      <c r="E145" t="str">
        <f t="shared" si="10"/>
        <v/>
      </c>
      <c r="F145" t="str">
        <f t="shared" si="8"/>
        <v>ELOTEGRANODELMONTE400GR(24)</v>
      </c>
      <c r="G145" t="s">
        <v>2869</v>
      </c>
      <c r="H145" s="2">
        <v>1.5487628856099269E-3</v>
      </c>
    </row>
    <row r="146" spans="1:8" x14ac:dyDescent="0.3">
      <c r="A146" t="s">
        <v>2169</v>
      </c>
      <c r="B146" t="s">
        <v>2170</v>
      </c>
      <c r="C146">
        <v>12</v>
      </c>
      <c r="D146">
        <f t="shared" si="9"/>
        <v>12</v>
      </c>
      <c r="E146" t="str">
        <f t="shared" si="10"/>
        <v/>
      </c>
      <c r="F146" t="str">
        <f t="shared" si="8"/>
        <v>MIELDEABEJACARLOTA1KG(12)</v>
      </c>
      <c r="G146" t="s">
        <v>3444</v>
      </c>
      <c r="H146" s="2">
        <v>1.5439352385649406E-3</v>
      </c>
    </row>
    <row r="147" spans="1:8" x14ac:dyDescent="0.3">
      <c r="A147" t="s">
        <v>631</v>
      </c>
      <c r="B147" t="s">
        <v>632</v>
      </c>
      <c r="C147">
        <v>1</v>
      </c>
      <c r="D147" t="str">
        <f t="shared" si="9"/>
        <v/>
      </c>
      <c r="E147" t="str">
        <f t="shared" si="10"/>
        <v/>
      </c>
      <c r="F147" t="str">
        <f t="shared" si="8"/>
        <v>SALMARINOPORCC/3000/5GR</v>
      </c>
      <c r="G147" t="s">
        <v>2676</v>
      </c>
      <c r="H147" s="2">
        <v>1.5317143297016113E-3</v>
      </c>
    </row>
    <row r="148" spans="1:8" x14ac:dyDescent="0.3">
      <c r="A148" t="s">
        <v>1504</v>
      </c>
      <c r="B148" t="s">
        <v>1505</v>
      </c>
      <c r="C148">
        <v>12</v>
      </c>
      <c r="D148">
        <f t="shared" si="9"/>
        <v>12</v>
      </c>
      <c r="E148" t="str">
        <f t="shared" si="10"/>
        <v/>
      </c>
      <c r="F148" t="str">
        <f t="shared" si="8"/>
        <v>ACEITEOLIVACARBONELL950ML(12)LATA</v>
      </c>
      <c r="G148" t="s">
        <v>3112</v>
      </c>
      <c r="H148" s="2">
        <v>1.5311206217404328E-3</v>
      </c>
    </row>
    <row r="149" spans="1:8" x14ac:dyDescent="0.3">
      <c r="A149" t="s">
        <v>121</v>
      </c>
      <c r="B149" t="s">
        <v>122</v>
      </c>
      <c r="C149">
        <v>1</v>
      </c>
      <c r="D149" t="str">
        <f t="shared" si="9"/>
        <v/>
      </c>
      <c r="E149" t="str">
        <f t="shared" si="10"/>
        <v/>
      </c>
      <c r="F149" t="str">
        <f>SUBSTITUTE(UPPER(CLEAN(G149))," ","")</f>
        <v>ARROZROJOPAISAC/25KBULTO</v>
      </c>
      <c r="G149" t="s">
        <v>2421</v>
      </c>
      <c r="H149" s="2">
        <v>1.5281417298156456E-3</v>
      </c>
    </row>
    <row r="150" spans="1:8" x14ac:dyDescent="0.3">
      <c r="A150" t="s">
        <v>2173</v>
      </c>
      <c r="B150" t="s">
        <v>2174</v>
      </c>
      <c r="C150">
        <v>1</v>
      </c>
      <c r="D150" t="str">
        <f t="shared" si="9"/>
        <v/>
      </c>
      <c r="E150" t="str">
        <f t="shared" si="10"/>
        <v/>
      </c>
      <c r="F150" t="str">
        <f t="shared" ref="F150:F164" si="11">SUBSTITUTE(UPPER(CLEAN(B150))," ","")</f>
        <v>LECHELALECHERANESTLE11K</v>
      </c>
      <c r="G150" t="s">
        <v>3446</v>
      </c>
      <c r="H150" s="2">
        <v>1.526608567647677E-3</v>
      </c>
    </row>
    <row r="151" spans="1:8" x14ac:dyDescent="0.3">
      <c r="A151" t="s">
        <v>129</v>
      </c>
      <c r="B151" t="s">
        <v>130</v>
      </c>
      <c r="C151">
        <v>10</v>
      </c>
      <c r="D151">
        <f t="shared" si="9"/>
        <v>10</v>
      </c>
      <c r="E151" t="str">
        <f t="shared" si="10"/>
        <v/>
      </c>
      <c r="F151" t="str">
        <f t="shared" si="11"/>
        <v>ARROZSANTAISABEL907GR(10)</v>
      </c>
      <c r="G151" t="s">
        <v>2425</v>
      </c>
      <c r="H151" s="2">
        <v>1.5202104784044113E-3</v>
      </c>
    </row>
    <row r="152" spans="1:8" x14ac:dyDescent="0.3">
      <c r="A152" t="s">
        <v>2019</v>
      </c>
      <c r="B152" t="s">
        <v>2020</v>
      </c>
      <c r="C152">
        <v>25</v>
      </c>
      <c r="D152">
        <f t="shared" si="9"/>
        <v>25</v>
      </c>
      <c r="E152" t="str">
        <f t="shared" si="10"/>
        <v/>
      </c>
      <c r="F152" t="str">
        <f t="shared" si="11"/>
        <v>PASTAFETTUCCINEBARILLA500GRS(25)</v>
      </c>
      <c r="G152" t="s">
        <v>3369</v>
      </c>
      <c r="H152" s="2">
        <v>1.5021955264904385E-3</v>
      </c>
    </row>
    <row r="153" spans="1:8" x14ac:dyDescent="0.3">
      <c r="A153" t="s">
        <v>1951</v>
      </c>
      <c r="B153" t="s">
        <v>1952</v>
      </c>
      <c r="C153">
        <v>1</v>
      </c>
      <c r="D153" t="str">
        <f t="shared" si="9"/>
        <v/>
      </c>
      <c r="E153" t="str">
        <f t="shared" si="10"/>
        <v/>
      </c>
      <c r="F153" t="str">
        <f t="shared" si="11"/>
        <v>KNORRSUIZA13KCUBETA</v>
      </c>
      <c r="G153" t="s">
        <v>3335</v>
      </c>
      <c r="H153" s="2">
        <v>1.4932373634506581E-3</v>
      </c>
    </row>
    <row r="154" spans="1:8" x14ac:dyDescent="0.3">
      <c r="A154" t="s">
        <v>1957</v>
      </c>
      <c r="B154" t="s">
        <v>1958</v>
      </c>
      <c r="C154">
        <v>6</v>
      </c>
      <c r="D154">
        <f t="shared" si="9"/>
        <v>6</v>
      </c>
      <c r="E154" t="str">
        <f t="shared" si="10"/>
        <v/>
      </c>
      <c r="F154" t="str">
        <f t="shared" si="11"/>
        <v>%KNORRSUIZA3.5K(6)</v>
      </c>
      <c r="G154" t="s">
        <v>3338</v>
      </c>
      <c r="H154" s="2">
        <v>1.4786110867204552E-3</v>
      </c>
    </row>
    <row r="155" spans="1:8" x14ac:dyDescent="0.3">
      <c r="A155" t="s">
        <v>441</v>
      </c>
      <c r="B155" t="s">
        <v>442</v>
      </c>
      <c r="C155">
        <v>10</v>
      </c>
      <c r="D155">
        <f t="shared" si="9"/>
        <v>10</v>
      </c>
      <c r="E155" t="str">
        <f t="shared" si="10"/>
        <v/>
      </c>
      <c r="F155" t="str">
        <f t="shared" si="11"/>
        <v>HARINAPERLA907GR(10)</v>
      </c>
      <c r="G155" t="s">
        <v>2581</v>
      </c>
      <c r="H155" s="2">
        <v>1.4774088407370463E-3</v>
      </c>
    </row>
    <row r="156" spans="1:8" x14ac:dyDescent="0.3">
      <c r="A156" t="s">
        <v>959</v>
      </c>
      <c r="B156" t="s">
        <v>960</v>
      </c>
      <c r="C156">
        <v>12</v>
      </c>
      <c r="D156">
        <f t="shared" si="9"/>
        <v>12</v>
      </c>
      <c r="E156" t="str">
        <f t="shared" si="10"/>
        <v/>
      </c>
      <c r="F156" t="str">
        <f t="shared" si="11"/>
        <v>ACEITEAVE800ML(12)</v>
      </c>
      <c r="G156" t="s">
        <v>2840</v>
      </c>
      <c r="H156" s="2">
        <v>1.4556600317531287E-3</v>
      </c>
    </row>
    <row r="157" spans="1:8" x14ac:dyDescent="0.3">
      <c r="A157" t="s">
        <v>1843</v>
      </c>
      <c r="B157" t="s">
        <v>1844</v>
      </c>
      <c r="C157">
        <v>12</v>
      </c>
      <c r="D157">
        <f t="shared" si="9"/>
        <v>12</v>
      </c>
      <c r="E157" t="str">
        <f t="shared" si="10"/>
        <v/>
      </c>
      <c r="F157" t="str">
        <f t="shared" si="11"/>
        <v>ACEITUNADESHUESADASANMIGUEL950G(12</v>
      </c>
      <c r="G157" t="s">
        <v>3281</v>
      </c>
      <c r="H157" s="2">
        <v>1.4529067166009846E-3</v>
      </c>
    </row>
    <row r="158" spans="1:8" x14ac:dyDescent="0.3">
      <c r="A158" t="s">
        <v>1219</v>
      </c>
      <c r="B158" t="s">
        <v>1220</v>
      </c>
      <c r="C158">
        <v>48</v>
      </c>
      <c r="D158">
        <f t="shared" si="9"/>
        <v>48</v>
      </c>
      <c r="E158" t="str">
        <f t="shared" si="10"/>
        <v/>
      </c>
      <c r="F158" t="str">
        <f t="shared" si="11"/>
        <v>-LECHECARNETION360ML(48)B9</v>
      </c>
      <c r="G158" t="s">
        <v>2970</v>
      </c>
      <c r="H158" s="2">
        <v>1.4490588186069899E-3</v>
      </c>
    </row>
    <row r="159" spans="1:8" x14ac:dyDescent="0.3">
      <c r="A159" t="s">
        <v>1245</v>
      </c>
      <c r="B159" t="s">
        <v>1246</v>
      </c>
      <c r="C159">
        <v>4</v>
      </c>
      <c r="D159">
        <f t="shared" si="9"/>
        <v>4</v>
      </c>
      <c r="E159" t="str">
        <f t="shared" si="10"/>
        <v/>
      </c>
      <c r="F159" t="str">
        <f t="shared" si="11"/>
        <v>DULCEDELECHEELMANJARNESTLE4.5K(4)</v>
      </c>
      <c r="G159" t="s">
        <v>2983</v>
      </c>
      <c r="H159" s="2">
        <v>1.4195223575303867E-3</v>
      </c>
    </row>
    <row r="160" spans="1:8" x14ac:dyDescent="0.3">
      <c r="A160" t="s">
        <v>1851</v>
      </c>
      <c r="B160" t="s">
        <v>1852</v>
      </c>
      <c r="C160">
        <v>6</v>
      </c>
      <c r="D160">
        <f t="shared" si="9"/>
        <v>6</v>
      </c>
      <c r="E160" t="str">
        <f t="shared" si="10"/>
        <v/>
      </c>
      <c r="F160" t="str">
        <f t="shared" si="11"/>
        <v>TOMATEENT.PELADOS.MIGUEL3.0KPOUCH(6)</v>
      </c>
      <c r="G160" t="s">
        <v>3285</v>
      </c>
      <c r="H160" s="2">
        <v>1.389319869846035E-3</v>
      </c>
    </row>
    <row r="161" spans="1:8" x14ac:dyDescent="0.3">
      <c r="A161" t="s">
        <v>417</v>
      </c>
      <c r="B161" t="s">
        <v>418</v>
      </c>
      <c r="C161">
        <v>10</v>
      </c>
      <c r="D161">
        <f t="shared" si="9"/>
        <v>10</v>
      </c>
      <c r="E161" t="str">
        <f t="shared" si="10"/>
        <v/>
      </c>
      <c r="F161" t="str">
        <f t="shared" si="11"/>
        <v>FLANVAINILLAD'GARI805GR(10)</v>
      </c>
      <c r="G161" t="s">
        <v>2569</v>
      </c>
      <c r="H161" s="2">
        <v>1.3882582694441201E-3</v>
      </c>
    </row>
    <row r="162" spans="1:8" x14ac:dyDescent="0.3">
      <c r="A162" t="s">
        <v>149</v>
      </c>
      <c r="B162" t="s">
        <v>150</v>
      </c>
      <c r="C162">
        <v>24</v>
      </c>
      <c r="D162">
        <f t="shared" si="9"/>
        <v>24</v>
      </c>
      <c r="E162" t="str">
        <f t="shared" si="10"/>
        <v/>
      </c>
      <c r="F162" t="str">
        <f t="shared" si="11"/>
        <v>PIÑACOLADACALAHUA380ML(24)</v>
      </c>
      <c r="G162" t="s">
        <v>2435</v>
      </c>
      <c r="H162" s="2">
        <v>1.3747454707219626E-3</v>
      </c>
    </row>
    <row r="163" spans="1:8" x14ac:dyDescent="0.3">
      <c r="A163" t="s">
        <v>155</v>
      </c>
      <c r="B163" t="s">
        <v>156</v>
      </c>
      <c r="C163">
        <v>12</v>
      </c>
      <c r="D163">
        <f t="shared" si="9"/>
        <v>12</v>
      </c>
      <c r="E163" t="str">
        <f t="shared" si="10"/>
        <v/>
      </c>
      <c r="F163" t="str">
        <f t="shared" si="11"/>
        <v>JARABENATURALMADRILEÑA1L(12)</v>
      </c>
      <c r="G163" t="s">
        <v>2438</v>
      </c>
      <c r="H163" s="2">
        <v>1.3545685743366052E-3</v>
      </c>
    </row>
    <row r="164" spans="1:8" x14ac:dyDescent="0.3">
      <c r="A164" t="s">
        <v>1207</v>
      </c>
      <c r="B164" t="s">
        <v>1208</v>
      </c>
      <c r="C164">
        <v>12</v>
      </c>
      <c r="D164">
        <f t="shared" si="9"/>
        <v>12</v>
      </c>
      <c r="E164" t="str">
        <f t="shared" si="10"/>
        <v/>
      </c>
      <c r="F164" t="str">
        <f t="shared" si="11"/>
        <v>CAFECLASICONESCAFE200G(12)</v>
      </c>
      <c r="G164" t="s">
        <v>2964</v>
      </c>
      <c r="H164" s="2">
        <v>1.3521050189584688E-3</v>
      </c>
    </row>
    <row r="165" spans="1:8" x14ac:dyDescent="0.3">
      <c r="A165" t="s">
        <v>125</v>
      </c>
      <c r="B165" t="s">
        <v>126</v>
      </c>
      <c r="C165">
        <v>1</v>
      </c>
      <c r="D165" t="str">
        <f t="shared" si="9"/>
        <v/>
      </c>
      <c r="E165" t="str">
        <f t="shared" si="10"/>
        <v/>
      </c>
      <c r="F165" t="str">
        <f>SUBSTITUTE(UPPER(CLEAN(G165))," ","")</f>
        <v>ARROZIMPEGABLESCHETTINO5K</v>
      </c>
      <c r="G165" t="s">
        <v>2423</v>
      </c>
      <c r="H165" s="2">
        <v>1.3445738965603791E-3</v>
      </c>
    </row>
    <row r="166" spans="1:8" x14ac:dyDescent="0.3">
      <c r="A166" t="s">
        <v>2171</v>
      </c>
      <c r="B166" t="s">
        <v>2172</v>
      </c>
      <c r="C166">
        <v>1</v>
      </c>
      <c r="D166" t="str">
        <f t="shared" si="9"/>
        <v/>
      </c>
      <c r="E166" t="str">
        <f t="shared" si="10"/>
        <v/>
      </c>
      <c r="F166" t="str">
        <f t="shared" ref="F166:F171" si="12">SUBSTITUTE(UPPER(CLEAN(B166))," ","")</f>
        <v>-LECHEENTERAENPOLVOCEREVITA35KG</v>
      </c>
      <c r="G166" t="s">
        <v>3445</v>
      </c>
      <c r="H166" s="2">
        <v>1.3330493301102547E-3</v>
      </c>
    </row>
    <row r="167" spans="1:8" x14ac:dyDescent="0.3">
      <c r="A167" t="s">
        <v>2015</v>
      </c>
      <c r="B167" t="s">
        <v>2016</v>
      </c>
      <c r="C167">
        <v>25</v>
      </c>
      <c r="D167">
        <f t="shared" si="9"/>
        <v>25</v>
      </c>
      <c r="E167" t="str">
        <f t="shared" si="10"/>
        <v/>
      </c>
      <c r="F167" t="str">
        <f t="shared" si="12"/>
        <v>PASTABAVETTEBARILLA500GR(25)</v>
      </c>
      <c r="G167" t="s">
        <v>3367</v>
      </c>
      <c r="H167" s="2">
        <v>1.3205411702355953E-3</v>
      </c>
    </row>
    <row r="168" spans="1:8" x14ac:dyDescent="0.3">
      <c r="A168" t="s">
        <v>2009</v>
      </c>
      <c r="B168" t="s">
        <v>2010</v>
      </c>
      <c r="C168">
        <v>25</v>
      </c>
      <c r="D168">
        <f t="shared" si="9"/>
        <v>25</v>
      </c>
      <c r="E168" t="str">
        <f t="shared" si="10"/>
        <v/>
      </c>
      <c r="F168" t="str">
        <f t="shared" si="12"/>
        <v>PASTASPAGHETTI#5BARILLA500G(25)</v>
      </c>
      <c r="G168" t="s">
        <v>3364</v>
      </c>
      <c r="H168" s="2">
        <v>1.3151258364964625E-3</v>
      </c>
    </row>
    <row r="169" spans="1:8" x14ac:dyDescent="0.3">
      <c r="A169" t="s">
        <v>603</v>
      </c>
      <c r="B169" t="s">
        <v>604</v>
      </c>
      <c r="C169">
        <v>20</v>
      </c>
      <c r="D169">
        <f t="shared" si="9"/>
        <v>20</v>
      </c>
      <c r="E169" t="str">
        <f t="shared" si="10"/>
        <v/>
      </c>
      <c r="F169" t="str">
        <f t="shared" si="12"/>
        <v>LEVADURANEVADA450GR(20)</v>
      </c>
      <c r="G169" t="s">
        <v>2662</v>
      </c>
      <c r="H169" s="2">
        <v>1.3146049806359878E-3</v>
      </c>
    </row>
    <row r="170" spans="1:8" x14ac:dyDescent="0.3">
      <c r="A170" t="s">
        <v>2035</v>
      </c>
      <c r="B170" t="s">
        <v>2036</v>
      </c>
      <c r="C170">
        <v>6</v>
      </c>
      <c r="D170">
        <f t="shared" si="9"/>
        <v>6</v>
      </c>
      <c r="E170" t="str">
        <f t="shared" si="10"/>
        <v/>
      </c>
      <c r="F170" t="str">
        <f t="shared" si="12"/>
        <v>%KNORRTOMATE3.6K(6)</v>
      </c>
      <c r="G170" t="s">
        <v>3377</v>
      </c>
      <c r="H170" s="2">
        <v>1.3089199707666209E-3</v>
      </c>
    </row>
    <row r="171" spans="1:8" x14ac:dyDescent="0.3">
      <c r="A171" t="s">
        <v>1380</v>
      </c>
      <c r="B171" t="s">
        <v>1381</v>
      </c>
      <c r="C171">
        <v>6</v>
      </c>
      <c r="D171">
        <f t="shared" si="9"/>
        <v>6</v>
      </c>
      <c r="E171" t="str">
        <f t="shared" si="10"/>
        <v/>
      </c>
      <c r="F171" t="str">
        <f t="shared" si="12"/>
        <v>SALSAP/PIZZADELFUERTE3KG(6)</v>
      </c>
      <c r="G171" t="s">
        <v>3050</v>
      </c>
      <c r="H171" s="2">
        <v>1.2895596296919978E-3</v>
      </c>
    </row>
    <row r="172" spans="1:8" x14ac:dyDescent="0.3">
      <c r="A172" t="s">
        <v>919</v>
      </c>
      <c r="B172" t="s">
        <v>920</v>
      </c>
      <c r="C172">
        <v>24</v>
      </c>
      <c r="D172">
        <f t="shared" si="9"/>
        <v>24</v>
      </c>
      <c r="E172" t="str">
        <f t="shared" si="10"/>
        <v/>
      </c>
      <c r="F172" t="str">
        <f>SUBSTITUTE(UPPER(CLEAN(G172))," ","")</f>
        <v>SERVILLETAPETALOC/220HOJAS(24)</v>
      </c>
      <c r="G172" t="s">
        <v>2820</v>
      </c>
      <c r="H172" s="2">
        <v>1.2809219238987311E-3</v>
      </c>
    </row>
    <row r="173" spans="1:8" x14ac:dyDescent="0.3">
      <c r="A173" t="s">
        <v>1773</v>
      </c>
      <c r="B173" t="s">
        <v>1774</v>
      </c>
      <c r="C173">
        <v>6</v>
      </c>
      <c r="D173">
        <f t="shared" si="9"/>
        <v>6</v>
      </c>
      <c r="E173" t="str">
        <f t="shared" si="10"/>
        <v/>
      </c>
      <c r="F173" t="str">
        <f t="shared" ref="F173:F180" si="13">SUBSTITUTE(UPPER(CLEAN(B173))," ","")</f>
        <v>PIMIENTANEGRAMOLIDAMESAMC510G(6)</v>
      </c>
      <c r="G173" t="s">
        <v>3246</v>
      </c>
      <c r="H173" s="2">
        <v>1.256703116829457E-3</v>
      </c>
    </row>
    <row r="174" spans="1:8" x14ac:dyDescent="0.3">
      <c r="A174" t="s">
        <v>1636</v>
      </c>
      <c r="B174" t="s">
        <v>1637</v>
      </c>
      <c r="C174">
        <v>2</v>
      </c>
      <c r="D174">
        <f t="shared" si="9"/>
        <v>2</v>
      </c>
      <c r="E174" t="str">
        <f t="shared" si="10"/>
        <v/>
      </c>
      <c r="F174" t="str">
        <f t="shared" si="13"/>
        <v>%SALSADEMIGLACE4KG.CUBETA(2)</v>
      </c>
      <c r="G174" t="s">
        <v>3178</v>
      </c>
      <c r="H174" s="2">
        <v>1.2517408036820854E-3</v>
      </c>
    </row>
    <row r="175" spans="1:8" x14ac:dyDescent="0.3">
      <c r="A175" t="s">
        <v>759</v>
      </c>
      <c r="B175" t="s">
        <v>760</v>
      </c>
      <c r="C175">
        <v>4</v>
      </c>
      <c r="D175">
        <f t="shared" si="9"/>
        <v>4</v>
      </c>
      <c r="E175" t="str">
        <f t="shared" si="10"/>
        <v/>
      </c>
      <c r="F175" t="str">
        <f t="shared" si="13"/>
        <v>PAPELALUMINIOAHORRAMAS3KG(4)</v>
      </c>
      <c r="G175" t="s">
        <v>2740</v>
      </c>
      <c r="H175" s="2">
        <v>1.2467287913785993E-3</v>
      </c>
    </row>
    <row r="176" spans="1:8" x14ac:dyDescent="0.3">
      <c r="A176" t="s">
        <v>1572</v>
      </c>
      <c r="B176" t="s">
        <v>1573</v>
      </c>
      <c r="C176">
        <v>4</v>
      </c>
      <c r="D176">
        <f t="shared" si="9"/>
        <v>4</v>
      </c>
      <c r="E176" t="str">
        <f t="shared" si="10"/>
        <v/>
      </c>
      <c r="F176" t="str">
        <f t="shared" si="13"/>
        <v>MIELKAROMAPLE3.6LTS(4)</v>
      </c>
      <c r="G176" t="s">
        <v>3146</v>
      </c>
      <c r="H176" s="2">
        <v>1.2162144822269309E-3</v>
      </c>
    </row>
    <row r="177" spans="1:8" x14ac:dyDescent="0.3">
      <c r="A177" t="s">
        <v>2167</v>
      </c>
      <c r="B177" t="s">
        <v>2168</v>
      </c>
      <c r="C177">
        <v>1</v>
      </c>
      <c r="D177" t="str">
        <f t="shared" si="9"/>
        <v/>
      </c>
      <c r="E177" t="str">
        <f t="shared" si="10"/>
        <v/>
      </c>
      <c r="F177" t="str">
        <f t="shared" si="13"/>
        <v>%CONDIMIXPOLLO14KBULTO</v>
      </c>
      <c r="G177" t="s">
        <v>3443</v>
      </c>
      <c r="H177" s="2">
        <v>1.2010724656854044E-3</v>
      </c>
    </row>
    <row r="178" spans="1:8" x14ac:dyDescent="0.3">
      <c r="A178" t="s">
        <v>1799</v>
      </c>
      <c r="B178" t="s">
        <v>1800</v>
      </c>
      <c r="C178">
        <v>24</v>
      </c>
      <c r="D178">
        <f t="shared" si="9"/>
        <v>24</v>
      </c>
      <c r="E178" t="str">
        <f t="shared" si="10"/>
        <v/>
      </c>
      <c r="F178" t="str">
        <f t="shared" si="13"/>
        <v>CHILECHIPOTLEADOBADOCOSTEÑA220G(24)</v>
      </c>
      <c r="G178" t="s">
        <v>3259</v>
      </c>
      <c r="H178" s="2">
        <v>1.1926889007636767E-3</v>
      </c>
    </row>
    <row r="179" spans="1:8" x14ac:dyDescent="0.3">
      <c r="A179" t="s">
        <v>1418</v>
      </c>
      <c r="B179" t="s">
        <v>1419</v>
      </c>
      <c r="C179">
        <v>12</v>
      </c>
      <c r="D179">
        <f t="shared" si="9"/>
        <v>12</v>
      </c>
      <c r="E179" t="str">
        <f t="shared" si="10"/>
        <v/>
      </c>
      <c r="F179" t="str">
        <f t="shared" si="13"/>
        <v>GELATINALECHEVAINILLACARTED'OR600(12</v>
      </c>
      <c r="G179" t="s">
        <v>3069</v>
      </c>
      <c r="H179" s="2">
        <v>1.1790077967721189E-3</v>
      </c>
    </row>
    <row r="180" spans="1:8" x14ac:dyDescent="0.3">
      <c r="A180" t="s">
        <v>1428</v>
      </c>
      <c r="B180" t="s">
        <v>1429</v>
      </c>
      <c r="C180">
        <v>12</v>
      </c>
      <c r="D180">
        <f t="shared" si="9"/>
        <v>12</v>
      </c>
      <c r="E180" t="str">
        <f t="shared" si="10"/>
        <v/>
      </c>
      <c r="F180" t="str">
        <f t="shared" si="13"/>
        <v>GELATINAAGUAUVACARTED'OR600G(12)</v>
      </c>
      <c r="G180" t="s">
        <v>3074</v>
      </c>
      <c r="H180" s="2">
        <v>1.1712764479575597E-3</v>
      </c>
    </row>
    <row r="181" spans="1:8" x14ac:dyDescent="0.3">
      <c r="A181" t="s">
        <v>127</v>
      </c>
      <c r="B181" t="s">
        <v>128</v>
      </c>
      <c r="C181">
        <v>10</v>
      </c>
      <c r="D181">
        <f t="shared" si="9"/>
        <v>10</v>
      </c>
      <c r="E181" t="str">
        <f t="shared" si="10"/>
        <v/>
      </c>
      <c r="F181" t="str">
        <f>SUBSTITUTE(UPPER(CLEAN(G181))," ","")</f>
        <v>ARROZPAISA1KG(10)</v>
      </c>
      <c r="G181" t="s">
        <v>2424</v>
      </c>
      <c r="H181" s="2">
        <v>1.1634044682435601E-3</v>
      </c>
    </row>
    <row r="182" spans="1:8" x14ac:dyDescent="0.3">
      <c r="A182" t="s">
        <v>2189</v>
      </c>
      <c r="B182" t="s">
        <v>2190</v>
      </c>
      <c r="C182">
        <v>1</v>
      </c>
      <c r="D182" t="str">
        <f t="shared" si="9"/>
        <v/>
      </c>
      <c r="E182" t="str">
        <f t="shared" si="10"/>
        <v/>
      </c>
      <c r="F182" t="str">
        <f t="shared" ref="F182:F213" si="14">SUBSTITUTE(UPPER(CLEAN(B182))," ","")</f>
        <v>CAJETAQUEMADACORONADO5K</v>
      </c>
      <c r="G182" t="s">
        <v>3454</v>
      </c>
      <c r="H182" s="2">
        <v>1.1588410944114076E-3</v>
      </c>
    </row>
    <row r="183" spans="1:8" x14ac:dyDescent="0.3">
      <c r="A183" t="s">
        <v>2153</v>
      </c>
      <c r="B183" t="s">
        <v>2154</v>
      </c>
      <c r="C183">
        <v>1</v>
      </c>
      <c r="D183" t="str">
        <f t="shared" si="9"/>
        <v/>
      </c>
      <c r="E183" t="str">
        <f t="shared" si="10"/>
        <v/>
      </c>
      <c r="F183" t="str">
        <f t="shared" si="14"/>
        <v>EMPANIZADORKNORR5KG*BULTO*</v>
      </c>
      <c r="G183" t="s">
        <v>3436</v>
      </c>
      <c r="H183" s="2">
        <v>1.1407206768400896E-3</v>
      </c>
    </row>
    <row r="184" spans="1:8" x14ac:dyDescent="0.3">
      <c r="A184" t="s">
        <v>1129</v>
      </c>
      <c r="B184" t="s">
        <v>1130</v>
      </c>
      <c r="C184">
        <v>12</v>
      </c>
      <c r="D184">
        <f t="shared" si="9"/>
        <v>12</v>
      </c>
      <c r="E184" t="str">
        <f t="shared" si="10"/>
        <v/>
      </c>
      <c r="F184" t="str">
        <f t="shared" si="14"/>
        <v>LECHELIGHTLALA1L(12)</v>
      </c>
      <c r="G184" t="s">
        <v>2925</v>
      </c>
      <c r="H184" s="2">
        <v>1.1383487787092559E-3</v>
      </c>
    </row>
    <row r="185" spans="1:8" x14ac:dyDescent="0.3">
      <c r="A185" t="s">
        <v>229</v>
      </c>
      <c r="B185" t="s">
        <v>230</v>
      </c>
      <c r="C185">
        <v>12</v>
      </c>
      <c r="D185">
        <f t="shared" si="9"/>
        <v>12</v>
      </c>
      <c r="E185" t="str">
        <f t="shared" si="10"/>
        <v/>
      </c>
      <c r="F185" t="str">
        <f t="shared" si="14"/>
        <v>CONCENTRADOJAMAICAFRUTIVA1L(12)</v>
      </c>
      <c r="G185" t="s">
        <v>2475</v>
      </c>
      <c r="H185" s="2">
        <v>1.1323859135634385E-3</v>
      </c>
    </row>
    <row r="186" spans="1:8" x14ac:dyDescent="0.3">
      <c r="A186" t="s">
        <v>325</v>
      </c>
      <c r="B186" t="s">
        <v>326</v>
      </c>
      <c r="C186">
        <v>12</v>
      </c>
      <c r="D186">
        <f t="shared" si="9"/>
        <v>12</v>
      </c>
      <c r="E186" t="str">
        <f t="shared" si="10"/>
        <v/>
      </c>
      <c r="F186" t="str">
        <f t="shared" si="14"/>
        <v>CREMACHOCOLATE/AVELLANASNUTELLA750G(12</v>
      </c>
      <c r="G186" t="s">
        <v>2523</v>
      </c>
      <c r="H186" s="2">
        <v>1.1280929999462738E-3</v>
      </c>
    </row>
    <row r="187" spans="1:8" x14ac:dyDescent="0.3">
      <c r="A187" t="s">
        <v>1452</v>
      </c>
      <c r="B187" t="s">
        <v>1453</v>
      </c>
      <c r="C187">
        <v>12</v>
      </c>
      <c r="D187">
        <f t="shared" si="9"/>
        <v>12</v>
      </c>
      <c r="E187" t="str">
        <f t="shared" si="10"/>
        <v/>
      </c>
      <c r="F187" t="str">
        <f t="shared" si="14"/>
        <v>CHAMPINONREBANADOHERDEZ800GR(12)</v>
      </c>
      <c r="G187" t="s">
        <v>3086</v>
      </c>
      <c r="H187" s="2">
        <v>1.1102491945190391E-3</v>
      </c>
    </row>
    <row r="188" spans="1:8" x14ac:dyDescent="0.3">
      <c r="A188" t="s">
        <v>1261</v>
      </c>
      <c r="B188" t="s">
        <v>1262</v>
      </c>
      <c r="C188">
        <v>4</v>
      </c>
      <c r="D188">
        <f t="shared" si="9"/>
        <v>4</v>
      </c>
      <c r="E188" t="str">
        <f t="shared" si="10"/>
        <v/>
      </c>
      <c r="F188" t="str">
        <f t="shared" si="14"/>
        <v>JUGOSAZONADORMAGGI1.9LTS(4)</v>
      </c>
      <c r="G188" t="s">
        <v>2991</v>
      </c>
      <c r="H188" s="2">
        <v>1.1100275971387501E-3</v>
      </c>
    </row>
    <row r="189" spans="1:8" x14ac:dyDescent="0.3">
      <c r="A189" t="s">
        <v>1077</v>
      </c>
      <c r="B189" t="s">
        <v>1078</v>
      </c>
      <c r="C189">
        <v>24</v>
      </c>
      <c r="D189">
        <f t="shared" si="9"/>
        <v>24</v>
      </c>
      <c r="E189" t="str">
        <f t="shared" si="10"/>
        <v/>
      </c>
      <c r="F189" t="str">
        <f t="shared" si="14"/>
        <v>NECTARMANGOJUMEX237ML(24)BRICK</v>
      </c>
      <c r="G189" t="s">
        <v>2899</v>
      </c>
      <c r="H189" s="2">
        <v>1.1098781713946009E-3</v>
      </c>
    </row>
    <row r="190" spans="1:8" x14ac:dyDescent="0.3">
      <c r="A190" t="s">
        <v>529</v>
      </c>
      <c r="B190" t="s">
        <v>530</v>
      </c>
      <c r="C190">
        <v>1</v>
      </c>
      <c r="D190" t="str">
        <f t="shared" si="9"/>
        <v/>
      </c>
      <c r="E190" t="str">
        <f t="shared" si="10"/>
        <v/>
      </c>
      <c r="F190" t="str">
        <f t="shared" si="14"/>
        <v>-MAYHELLREAL3.8K+MAYHELLREAL1.9K</v>
      </c>
      <c r="G190" t="s">
        <v>2625</v>
      </c>
      <c r="H190" s="2">
        <v>1.1070602485462491E-3</v>
      </c>
    </row>
    <row r="191" spans="1:8" x14ac:dyDescent="0.3">
      <c r="A191" t="s">
        <v>61</v>
      </c>
      <c r="B191" t="s">
        <v>62</v>
      </c>
      <c r="C191">
        <v>48</v>
      </c>
      <c r="D191">
        <f t="shared" si="9"/>
        <v>48</v>
      </c>
      <c r="E191" t="str">
        <f t="shared" si="10"/>
        <v/>
      </c>
      <c r="F191" t="str">
        <f t="shared" si="14"/>
        <v>SERVILLETAPETALOBCAC/100HOJAS(48)</v>
      </c>
      <c r="G191" t="s">
        <v>2391</v>
      </c>
      <c r="H191" s="2">
        <v>1.1029850573427043E-3</v>
      </c>
    </row>
    <row r="192" spans="1:8" x14ac:dyDescent="0.3">
      <c r="A192" t="s">
        <v>1319</v>
      </c>
      <c r="B192" t="s">
        <v>1320</v>
      </c>
      <c r="C192">
        <v>20</v>
      </c>
      <c r="D192">
        <f t="shared" si="9"/>
        <v>20</v>
      </c>
      <c r="E192" t="str">
        <f t="shared" si="10"/>
        <v/>
      </c>
      <c r="F192" t="str">
        <f t="shared" si="14"/>
        <v>FRIJOLPERUANOVERDEVALLE900G(20)</v>
      </c>
      <c r="G192" t="s">
        <v>3020</v>
      </c>
      <c r="H192" s="2">
        <v>1.0942717055127283E-3</v>
      </c>
    </row>
    <row r="193" spans="1:8" x14ac:dyDescent="0.3">
      <c r="A193" t="s">
        <v>1426</v>
      </c>
      <c r="B193" t="s">
        <v>1427</v>
      </c>
      <c r="C193">
        <v>12</v>
      </c>
      <c r="D193">
        <f t="shared" si="9"/>
        <v>12</v>
      </c>
      <c r="E193" t="str">
        <f t="shared" si="10"/>
        <v/>
      </c>
      <c r="F193" t="str">
        <f t="shared" si="14"/>
        <v>GELATINAAGUANARANJACARTED'OR600G(12)</v>
      </c>
      <c r="G193" t="s">
        <v>3073</v>
      </c>
      <c r="H193" s="2">
        <v>1.0856275223740106E-3</v>
      </c>
    </row>
    <row r="194" spans="1:8" x14ac:dyDescent="0.3">
      <c r="A194" t="s">
        <v>1739</v>
      </c>
      <c r="B194" t="s">
        <v>1740</v>
      </c>
      <c r="C194">
        <v>24</v>
      </c>
      <c r="D194">
        <f t="shared" ref="D194:D257" si="15">IFERROR(VALUE(IFERROR(
    MID(G194,FIND("(",G194)+1,FIND(")",G194)-FIND("(",G194)-1),
    IFERROR(
        MID(G194,FIND("(",G194)+1,LEN(G194)-FIND("(",G194)),
        ""
    )
)),"")</f>
        <v>24</v>
      </c>
      <c r="E194" t="str">
        <f t="shared" ref="E194:E257" si="16">IFERROR(VALUE(MID(SUBSTITUTE(G194," ",""),
FIND("/",SUBSTITUTE(G194," ",""))+1,
MIN(IFERROR(FIND("PZS",SUBSTITUTE(G194," ","")),999),
    IFERROR(FIND("PZA",SUBSTITUTE(G194," ","")),999))
-FIND("/",SUBSTITUTE(G194," ",""))-1)),"")</f>
        <v/>
      </c>
      <c r="F194" t="str">
        <f t="shared" si="14"/>
        <v>#MAYONESACONLIMONMC190G(24)</v>
      </c>
      <c r="G194" t="s">
        <v>3229</v>
      </c>
      <c r="H194" s="2">
        <v>1.0653882809842994E-3</v>
      </c>
    </row>
    <row r="195" spans="1:8" x14ac:dyDescent="0.3">
      <c r="A195" t="s">
        <v>133</v>
      </c>
      <c r="B195" t="s">
        <v>134</v>
      </c>
      <c r="C195">
        <v>10</v>
      </c>
      <c r="D195">
        <f t="shared" si="15"/>
        <v>10</v>
      </c>
      <c r="E195" t="str">
        <f t="shared" si="16"/>
        <v/>
      </c>
      <c r="F195" t="str">
        <f t="shared" si="14"/>
        <v>ARROZSUPEREXTRAPAISA907GR(10)</v>
      </c>
      <c r="G195" t="s">
        <v>2427</v>
      </c>
      <c r="H195" s="2">
        <v>1.0611911772748909E-3</v>
      </c>
    </row>
    <row r="196" spans="1:8" x14ac:dyDescent="0.3">
      <c r="A196" t="s">
        <v>1163</v>
      </c>
      <c r="B196" t="s">
        <v>1164</v>
      </c>
      <c r="C196">
        <v>1</v>
      </c>
      <c r="D196" t="str">
        <f t="shared" si="15"/>
        <v/>
      </c>
      <c r="E196" t="str">
        <f t="shared" si="16"/>
        <v/>
      </c>
      <c r="F196" t="str">
        <f t="shared" si="14"/>
        <v>MIELABEJAHEINZC/120/20G</v>
      </c>
      <c r="G196" t="s">
        <v>2942</v>
      </c>
      <c r="H196" s="2">
        <v>1.060769789903878E-3</v>
      </c>
    </row>
    <row r="197" spans="1:8" x14ac:dyDescent="0.3">
      <c r="A197" t="s">
        <v>1123</v>
      </c>
      <c r="B197" t="s">
        <v>1124</v>
      </c>
      <c r="C197">
        <v>24</v>
      </c>
      <c r="D197">
        <f t="shared" si="15"/>
        <v>24</v>
      </c>
      <c r="E197" t="str">
        <f t="shared" si="16"/>
        <v/>
      </c>
      <c r="F197" t="str">
        <f t="shared" si="14"/>
        <v>NECTARMANZANAJUMEX237ML(24)BRICK</v>
      </c>
      <c r="G197" t="s">
        <v>2922</v>
      </c>
      <c r="H197" s="2">
        <v>1.0549596220353818E-3</v>
      </c>
    </row>
    <row r="198" spans="1:8" x14ac:dyDescent="0.3">
      <c r="A198" t="s">
        <v>1279</v>
      </c>
      <c r="B198" t="s">
        <v>1280</v>
      </c>
      <c r="C198">
        <v>16</v>
      </c>
      <c r="D198">
        <f t="shared" si="15"/>
        <v>16</v>
      </c>
      <c r="E198" t="str">
        <f t="shared" si="16"/>
        <v/>
      </c>
      <c r="F198" t="str">
        <f t="shared" si="14"/>
        <v>SALSAKETCHUPHEINZ397G14OZ(16)</v>
      </c>
      <c r="G198" t="s">
        <v>3000</v>
      </c>
      <c r="H198" s="2">
        <v>1.0539101581477242E-3</v>
      </c>
    </row>
    <row r="199" spans="1:8" x14ac:dyDescent="0.3">
      <c r="A199" t="s">
        <v>1189</v>
      </c>
      <c r="B199" t="s">
        <v>1190</v>
      </c>
      <c r="C199">
        <v>10</v>
      </c>
      <c r="D199">
        <f t="shared" si="15"/>
        <v>10</v>
      </c>
      <c r="E199" t="str">
        <f t="shared" si="16"/>
        <v/>
      </c>
      <c r="F199" t="str">
        <f t="shared" si="14"/>
        <v>GELATINAAGUAUVAD'GARI720G(10)</v>
      </c>
      <c r="G199" t="s">
        <v>2955</v>
      </c>
      <c r="H199" s="2">
        <v>1.0315847627955373E-3</v>
      </c>
    </row>
    <row r="200" spans="1:8" x14ac:dyDescent="0.3">
      <c r="A200" t="s">
        <v>1121</v>
      </c>
      <c r="B200" t="s">
        <v>1122</v>
      </c>
      <c r="C200">
        <v>24</v>
      </c>
      <c r="D200">
        <f t="shared" si="15"/>
        <v>24</v>
      </c>
      <c r="E200" t="str">
        <f t="shared" si="16"/>
        <v/>
      </c>
      <c r="F200" t="str">
        <f t="shared" si="14"/>
        <v>NECTARDURAZNOJUMEX237ML(24)BRICK</v>
      </c>
      <c r="G200" t="s">
        <v>2921</v>
      </c>
      <c r="H200" s="2">
        <v>1.0224650387980116E-3</v>
      </c>
    </row>
    <row r="201" spans="1:8" x14ac:dyDescent="0.3">
      <c r="A201" t="s">
        <v>1582</v>
      </c>
      <c r="B201" t="s">
        <v>1583</v>
      </c>
      <c r="C201">
        <v>12</v>
      </c>
      <c r="D201">
        <f t="shared" si="15"/>
        <v>12</v>
      </c>
      <c r="E201" t="str">
        <f t="shared" si="16"/>
        <v/>
      </c>
      <c r="F201" t="str">
        <f t="shared" si="14"/>
        <v>MERMELADAFRESASMUCKERS510G(12)</v>
      </c>
      <c r="G201" t="s">
        <v>3151</v>
      </c>
      <c r="H201" s="2">
        <v>1.018209665431588E-3</v>
      </c>
    </row>
    <row r="202" spans="1:8" x14ac:dyDescent="0.3">
      <c r="A202" t="s">
        <v>1907</v>
      </c>
      <c r="B202" t="s">
        <v>1908</v>
      </c>
      <c r="C202">
        <v>4</v>
      </c>
      <c r="D202">
        <f t="shared" si="15"/>
        <v>4</v>
      </c>
      <c r="E202" t="str">
        <f t="shared" si="16"/>
        <v/>
      </c>
      <c r="F202" t="str">
        <f t="shared" si="14"/>
        <v>ADEREZOCESARHELLMANN´S3.8KG(4)EC</v>
      </c>
      <c r="G202" t="s">
        <v>3313</v>
      </c>
      <c r="H202" s="2">
        <v>1.0101506114094975E-3</v>
      </c>
    </row>
    <row r="203" spans="1:8" x14ac:dyDescent="0.3">
      <c r="A203" t="s">
        <v>715</v>
      </c>
      <c r="B203" t="s">
        <v>716</v>
      </c>
      <c r="C203">
        <v>4</v>
      </c>
      <c r="D203">
        <f t="shared" si="15"/>
        <v>4</v>
      </c>
      <c r="E203" t="str">
        <f t="shared" si="16"/>
        <v/>
      </c>
      <c r="F203" t="str">
        <f t="shared" si="14"/>
        <v>VINAGREBLANCOCIERVO4LTS(4)</v>
      </c>
      <c r="G203" t="s">
        <v>2718</v>
      </c>
      <c r="H203" s="2">
        <v>1.0094587726229378E-3</v>
      </c>
    </row>
    <row r="204" spans="1:8" x14ac:dyDescent="0.3">
      <c r="A204" t="s">
        <v>1079</v>
      </c>
      <c r="B204" t="s">
        <v>1080</v>
      </c>
      <c r="C204">
        <v>6</v>
      </c>
      <c r="D204">
        <f t="shared" si="15"/>
        <v>6</v>
      </c>
      <c r="E204" t="str">
        <f t="shared" si="16"/>
        <v/>
      </c>
      <c r="F204" t="str">
        <f t="shared" si="14"/>
        <v>MAIZPOZOLEROALFRESCO3KG(6)</v>
      </c>
      <c r="G204" t="s">
        <v>2900</v>
      </c>
      <c r="H204" s="2">
        <v>1.0013177753394689E-3</v>
      </c>
    </row>
    <row r="205" spans="1:8" x14ac:dyDescent="0.3">
      <c r="A205" t="s">
        <v>1247</v>
      </c>
      <c r="B205" t="s">
        <v>1248</v>
      </c>
      <c r="C205">
        <v>12</v>
      </c>
      <c r="D205">
        <f t="shared" si="15"/>
        <v>12</v>
      </c>
      <c r="E205" t="str">
        <f t="shared" si="16"/>
        <v/>
      </c>
      <c r="F205" t="str">
        <f t="shared" si="14"/>
        <v>MEDIACREMANESTLE1L(12)</v>
      </c>
      <c r="G205" t="s">
        <v>2984</v>
      </c>
      <c r="H205" s="2">
        <v>1.0000412180927846E-3</v>
      </c>
    </row>
    <row r="206" spans="1:8" x14ac:dyDescent="0.3">
      <c r="A206" t="s">
        <v>205</v>
      </c>
      <c r="B206" t="s">
        <v>206</v>
      </c>
      <c r="C206">
        <v>24</v>
      </c>
      <c r="D206">
        <f t="shared" si="15"/>
        <v>24</v>
      </c>
      <c r="E206" t="str">
        <f t="shared" si="16"/>
        <v/>
      </c>
      <c r="F206" t="str">
        <f t="shared" si="14"/>
        <v>CHILECHIPOTLECLEMENTE380GR(24)</v>
      </c>
      <c r="G206" t="s">
        <v>2463</v>
      </c>
      <c r="H206" s="2">
        <v>9.9878737401040956E-4</v>
      </c>
    </row>
    <row r="207" spans="1:8" x14ac:dyDescent="0.3">
      <c r="A207" t="s">
        <v>993</v>
      </c>
      <c r="B207" t="s">
        <v>994</v>
      </c>
      <c r="C207">
        <v>12</v>
      </c>
      <c r="D207">
        <f t="shared" si="15"/>
        <v>12</v>
      </c>
      <c r="E207" t="str">
        <f t="shared" si="16"/>
        <v/>
      </c>
      <c r="F207" t="str">
        <f t="shared" si="14"/>
        <v>CLORALEX950ML(12)</v>
      </c>
      <c r="G207" t="s">
        <v>2857</v>
      </c>
      <c r="H207" s="2">
        <v>9.8790460393409388E-4</v>
      </c>
    </row>
    <row r="208" spans="1:8" x14ac:dyDescent="0.3">
      <c r="A208" t="s">
        <v>553</v>
      </c>
      <c r="B208" t="s">
        <v>554</v>
      </c>
      <c r="C208">
        <v>12</v>
      </c>
      <c r="D208">
        <f t="shared" si="15"/>
        <v>12</v>
      </c>
      <c r="E208" t="str">
        <f t="shared" si="16"/>
        <v/>
      </c>
      <c r="F208" t="str">
        <f t="shared" si="14"/>
        <v>ACHIOTEANITA1KG(12)</v>
      </c>
      <c r="G208" t="s">
        <v>2637</v>
      </c>
      <c r="H208" s="2">
        <v>9.8079095512461898E-4</v>
      </c>
    </row>
    <row r="209" spans="1:8" x14ac:dyDescent="0.3">
      <c r="A209" t="s">
        <v>733</v>
      </c>
      <c r="B209" t="s">
        <v>734</v>
      </c>
      <c r="C209">
        <v>24</v>
      </c>
      <c r="D209">
        <f t="shared" si="15"/>
        <v>24</v>
      </c>
      <c r="E209" t="str">
        <f t="shared" si="16"/>
        <v/>
      </c>
      <c r="F209" t="str">
        <f t="shared" si="14"/>
        <v>HERSHEY'SSYRUPCHTE.589ML(24)</v>
      </c>
      <c r="G209" t="s">
        <v>2727</v>
      </c>
      <c r="H209" s="2">
        <v>9.6223975178451359E-4</v>
      </c>
    </row>
    <row r="210" spans="1:8" x14ac:dyDescent="0.3">
      <c r="A210" t="s">
        <v>1161</v>
      </c>
      <c r="B210" t="s">
        <v>1162</v>
      </c>
      <c r="C210">
        <v>4</v>
      </c>
      <c r="D210">
        <f t="shared" si="15"/>
        <v>4</v>
      </c>
      <c r="E210" t="str">
        <f t="shared" si="16"/>
        <v/>
      </c>
      <c r="F210" t="str">
        <f t="shared" si="14"/>
        <v>SALSABARBECUEABAL4LTS(4)</v>
      </c>
      <c r="G210" t="s">
        <v>2941</v>
      </c>
      <c r="H210" s="2">
        <v>9.6081777548484158E-4</v>
      </c>
    </row>
    <row r="211" spans="1:8" x14ac:dyDescent="0.3">
      <c r="A211" t="s">
        <v>2143</v>
      </c>
      <c r="B211" t="s">
        <v>2144</v>
      </c>
      <c r="C211">
        <v>24</v>
      </c>
      <c r="D211">
        <f t="shared" si="15"/>
        <v>24</v>
      </c>
      <c r="E211" t="str">
        <f t="shared" si="16"/>
        <v/>
      </c>
      <c r="F211" t="str">
        <f t="shared" si="14"/>
        <v>CREMAELOTECAMPBELL'S310G(24)</v>
      </c>
      <c r="G211" t="s">
        <v>3431</v>
      </c>
      <c r="H211" s="2">
        <v>9.5571213458512012E-4</v>
      </c>
    </row>
    <row r="212" spans="1:8" x14ac:dyDescent="0.3">
      <c r="A212" t="s">
        <v>415</v>
      </c>
      <c r="B212" t="s">
        <v>416</v>
      </c>
      <c r="C212">
        <v>10</v>
      </c>
      <c r="D212">
        <f t="shared" si="15"/>
        <v>10</v>
      </c>
      <c r="E212" t="str">
        <f t="shared" si="16"/>
        <v/>
      </c>
      <c r="F212" t="str">
        <f t="shared" si="14"/>
        <v>GELATINAAGUAFRESAD'GARI720G(10)</v>
      </c>
      <c r="G212" t="s">
        <v>2568</v>
      </c>
      <c r="H212" s="2">
        <v>9.5088632835232652E-4</v>
      </c>
    </row>
    <row r="213" spans="1:8" x14ac:dyDescent="0.3">
      <c r="A213" t="s">
        <v>547</v>
      </c>
      <c r="B213" t="s">
        <v>548</v>
      </c>
      <c r="C213">
        <v>6</v>
      </c>
      <c r="D213">
        <f t="shared" si="15"/>
        <v>6</v>
      </c>
      <c r="E213" t="str">
        <f t="shared" si="16"/>
        <v/>
      </c>
      <c r="F213" t="str">
        <f t="shared" si="14"/>
        <v>CHOCOLATECHOCOMILK1.750GR.(6)</v>
      </c>
      <c r="G213" t="s">
        <v>2634</v>
      </c>
      <c r="H213" s="2">
        <v>9.4351495472428954E-4</v>
      </c>
    </row>
    <row r="214" spans="1:8" x14ac:dyDescent="0.3">
      <c r="A214" t="s">
        <v>1035</v>
      </c>
      <c r="B214" t="s">
        <v>1036</v>
      </c>
      <c r="C214">
        <v>24</v>
      </c>
      <c r="D214">
        <f t="shared" si="15"/>
        <v>24</v>
      </c>
      <c r="E214" t="str">
        <f t="shared" si="16"/>
        <v/>
      </c>
      <c r="F214" t="str">
        <f t="shared" ref="F214:F245" si="17">SUBSTITUTE(UPPER(CLEAN(B214))," ","")</f>
        <v>GARBANZODELMONTE400GR(24)</v>
      </c>
      <c r="G214" t="s">
        <v>2878</v>
      </c>
      <c r="H214" s="2">
        <v>9.3646716464251237E-4</v>
      </c>
    </row>
    <row r="215" spans="1:8" x14ac:dyDescent="0.3">
      <c r="A215" t="s">
        <v>393</v>
      </c>
      <c r="B215" t="s">
        <v>394</v>
      </c>
      <c r="C215">
        <v>1</v>
      </c>
      <c r="D215" t="str">
        <f t="shared" si="15"/>
        <v/>
      </c>
      <c r="E215" t="str">
        <f t="shared" si="16"/>
        <v/>
      </c>
      <c r="F215" t="str">
        <f t="shared" si="17"/>
        <v>FRIJOLPINTONACIONAL25KG</v>
      </c>
      <c r="G215" t="s">
        <v>2557</v>
      </c>
      <c r="H215" s="2">
        <v>9.3638369405475708E-4</v>
      </c>
    </row>
    <row r="216" spans="1:8" x14ac:dyDescent="0.3">
      <c r="A216" t="s">
        <v>1299</v>
      </c>
      <c r="B216" t="s">
        <v>1300</v>
      </c>
      <c r="C216">
        <v>12</v>
      </c>
      <c r="D216">
        <f t="shared" si="15"/>
        <v>12</v>
      </c>
      <c r="E216" t="str">
        <f t="shared" si="16"/>
        <v/>
      </c>
      <c r="F216" t="str">
        <f t="shared" si="17"/>
        <v>SALSATABASCO355ML.(12)</v>
      </c>
      <c r="G216" t="s">
        <v>3010</v>
      </c>
      <c r="H216" s="2">
        <v>9.3589091087185894E-4</v>
      </c>
    </row>
    <row r="217" spans="1:8" x14ac:dyDescent="0.3">
      <c r="A217" t="s">
        <v>1257</v>
      </c>
      <c r="B217" t="s">
        <v>1258</v>
      </c>
      <c r="C217">
        <v>4</v>
      </c>
      <c r="D217">
        <f t="shared" si="15"/>
        <v>4</v>
      </c>
      <c r="E217" t="str">
        <f t="shared" si="16"/>
        <v/>
      </c>
      <c r="F217" t="str">
        <f t="shared" si="17"/>
        <v>SALSAINGLESACROSSE&amp;BLACWELL1.9L(4)</v>
      </c>
      <c r="G217" t="s">
        <v>2989</v>
      </c>
      <c r="H217" s="2">
        <v>9.2215361741823784E-4</v>
      </c>
    </row>
    <row r="218" spans="1:8" x14ac:dyDescent="0.3">
      <c r="A218" t="s">
        <v>1187</v>
      </c>
      <c r="B218" t="s">
        <v>1188</v>
      </c>
      <c r="C218">
        <v>10</v>
      </c>
      <c r="D218">
        <f t="shared" si="15"/>
        <v>10</v>
      </c>
      <c r="E218" t="str">
        <f t="shared" si="16"/>
        <v/>
      </c>
      <c r="F218" t="str">
        <f t="shared" si="17"/>
        <v>GELATINAAGUAPIÑAD'GARI720G(10)</v>
      </c>
      <c r="G218" t="s">
        <v>2954</v>
      </c>
      <c r="H218" s="2">
        <v>9.1499669918042228E-4</v>
      </c>
    </row>
    <row r="219" spans="1:8" x14ac:dyDescent="0.3">
      <c r="A219" t="s">
        <v>363</v>
      </c>
      <c r="B219" t="s">
        <v>364</v>
      </c>
      <c r="C219">
        <v>12</v>
      </c>
      <c r="D219">
        <f t="shared" si="15"/>
        <v>12</v>
      </c>
      <c r="E219" t="str">
        <f t="shared" si="16"/>
        <v/>
      </c>
      <c r="F219" t="str">
        <f t="shared" si="17"/>
        <v>AJOENPOLVOPRAGNA794G(12)</v>
      </c>
      <c r="G219" t="s">
        <v>2542</v>
      </c>
      <c r="H219" s="2">
        <v>9.131051348185E-4</v>
      </c>
    </row>
    <row r="220" spans="1:8" x14ac:dyDescent="0.3">
      <c r="A220" t="s">
        <v>1650</v>
      </c>
      <c r="B220" t="s">
        <v>1651</v>
      </c>
      <c r="C220">
        <v>4</v>
      </c>
      <c r="D220">
        <f t="shared" si="15"/>
        <v>4</v>
      </c>
      <c r="E220" t="str">
        <f t="shared" si="16"/>
        <v/>
      </c>
      <c r="F220" t="str">
        <f t="shared" si="17"/>
        <v>MOSTAZAMC.CORMIC3.85KG(4)</v>
      </c>
      <c r="G220" t="s">
        <v>3185</v>
      </c>
      <c r="H220" s="2">
        <v>9.0624698582289834E-4</v>
      </c>
    </row>
    <row r="221" spans="1:8" x14ac:dyDescent="0.3">
      <c r="A221" t="s">
        <v>2197</v>
      </c>
      <c r="B221" t="s">
        <v>2198</v>
      </c>
      <c r="C221">
        <v>12</v>
      </c>
      <c r="D221">
        <f t="shared" si="15"/>
        <v>12</v>
      </c>
      <c r="E221" t="str">
        <f t="shared" si="16"/>
        <v/>
      </c>
      <c r="F221" t="str">
        <f t="shared" si="17"/>
        <v>SERVILLETABCAMARLIC/450HOJAS(12)</v>
      </c>
      <c r="G221" t="s">
        <v>3458</v>
      </c>
      <c r="H221" s="2">
        <v>9.0402864897975782E-4</v>
      </c>
    </row>
    <row r="222" spans="1:8" x14ac:dyDescent="0.3">
      <c r="A222" t="s">
        <v>1402</v>
      </c>
      <c r="B222" t="s">
        <v>1403</v>
      </c>
      <c r="C222">
        <v>6</v>
      </c>
      <c r="D222">
        <f t="shared" si="15"/>
        <v>6</v>
      </c>
      <c r="E222" t="str">
        <f t="shared" si="16"/>
        <v/>
      </c>
      <c r="F222" t="str">
        <f t="shared" si="17"/>
        <v>CHILECHIPOTLEADOBADOCOSTEÑA2.8K(6)</v>
      </c>
      <c r="G222" t="s">
        <v>3061</v>
      </c>
      <c r="H222" s="2">
        <v>8.9846577637076378E-4</v>
      </c>
    </row>
    <row r="223" spans="1:8" x14ac:dyDescent="0.3">
      <c r="A223" t="s">
        <v>559</v>
      </c>
      <c r="B223" t="s">
        <v>560</v>
      </c>
      <c r="C223">
        <v>1</v>
      </c>
      <c r="D223" t="str">
        <f t="shared" si="15"/>
        <v/>
      </c>
      <c r="E223" t="str">
        <f t="shared" si="16"/>
        <v/>
      </c>
      <c r="F223" t="str">
        <f t="shared" si="17"/>
        <v>PANMOLIDOGOURMETPANKO9.07KG</v>
      </c>
      <c r="G223" t="s">
        <v>2640</v>
      </c>
      <c r="H223" s="2">
        <v>8.9802942821872172E-4</v>
      </c>
    </row>
    <row r="224" spans="1:8" x14ac:dyDescent="0.3">
      <c r="A224" t="s">
        <v>983</v>
      </c>
      <c r="B224" t="s">
        <v>984</v>
      </c>
      <c r="C224">
        <v>15</v>
      </c>
      <c r="D224">
        <f t="shared" si="15"/>
        <v>15</v>
      </c>
      <c r="E224" t="str">
        <f t="shared" si="16"/>
        <v/>
      </c>
      <c r="F224" t="str">
        <f t="shared" si="17"/>
        <v>PASTALASAGNEBARILLA500GR(15)</v>
      </c>
      <c r="G224" t="s">
        <v>2852</v>
      </c>
      <c r="H224" s="2">
        <v>8.8932300307781667E-4</v>
      </c>
    </row>
    <row r="225" spans="1:8" x14ac:dyDescent="0.3">
      <c r="A225" t="s">
        <v>2059</v>
      </c>
      <c r="B225" t="s">
        <v>2060</v>
      </c>
      <c r="C225">
        <v>6</v>
      </c>
      <c r="D225">
        <f t="shared" si="15"/>
        <v>6</v>
      </c>
      <c r="E225" t="str">
        <f t="shared" si="16"/>
        <v/>
      </c>
      <c r="F225" t="str">
        <f t="shared" si="17"/>
        <v>SALSACATSUPCLEMENTE3.1K(6)</v>
      </c>
      <c r="G225" t="s">
        <v>3389</v>
      </c>
      <c r="H225" s="2">
        <v>8.7643119738853542E-4</v>
      </c>
    </row>
    <row r="226" spans="1:8" x14ac:dyDescent="0.3">
      <c r="A226" t="s">
        <v>2351</v>
      </c>
      <c r="B226" t="s">
        <v>2352</v>
      </c>
      <c r="C226">
        <v>12</v>
      </c>
      <c r="D226">
        <f t="shared" si="15"/>
        <v>12</v>
      </c>
      <c r="E226" t="str">
        <f t="shared" si="16"/>
        <v/>
      </c>
      <c r="F226" t="str">
        <f t="shared" si="17"/>
        <v>ALCAPARRASCARBONELL350GR(12)</v>
      </c>
      <c r="G226" t="s">
        <v>3535</v>
      </c>
      <c r="H226" s="2">
        <v>8.6613175390581269E-4</v>
      </c>
    </row>
    <row r="227" spans="1:8" x14ac:dyDescent="0.3">
      <c r="A227" t="s">
        <v>165</v>
      </c>
      <c r="B227" t="s">
        <v>166</v>
      </c>
      <c r="C227">
        <v>12</v>
      </c>
      <c r="D227">
        <f t="shared" si="15"/>
        <v>12</v>
      </c>
      <c r="E227" t="str">
        <f t="shared" si="16"/>
        <v/>
      </c>
      <c r="F227" t="str">
        <f t="shared" si="17"/>
        <v>AGUADECOCOACAPULCOCONATURAL1L(12)</v>
      </c>
      <c r="G227" t="s">
        <v>2443</v>
      </c>
      <c r="H227" s="2">
        <v>8.5968694833508149E-4</v>
      </c>
    </row>
    <row r="228" spans="1:8" x14ac:dyDescent="0.3">
      <c r="A228" t="s">
        <v>1714</v>
      </c>
      <c r="B228" t="s">
        <v>1715</v>
      </c>
      <c r="C228">
        <v>6</v>
      </c>
      <c r="D228">
        <f t="shared" si="15"/>
        <v>6</v>
      </c>
      <c r="E228" t="str">
        <f t="shared" si="16"/>
        <v/>
      </c>
      <c r="F228" t="str">
        <f t="shared" si="17"/>
        <v>ATUNENACEITETUNY1880G(6)</v>
      </c>
      <c r="G228" t="s">
        <v>3217</v>
      </c>
      <c r="H228" s="2">
        <v>8.5668333893861644E-4</v>
      </c>
    </row>
    <row r="229" spans="1:8" x14ac:dyDescent="0.3">
      <c r="A229" t="s">
        <v>1105</v>
      </c>
      <c r="B229" t="s">
        <v>1106</v>
      </c>
      <c r="C229">
        <v>12</v>
      </c>
      <c r="D229">
        <f t="shared" si="15"/>
        <v>12</v>
      </c>
      <c r="E229" t="str">
        <f t="shared" si="16"/>
        <v/>
      </c>
      <c r="F229" t="str">
        <f t="shared" si="17"/>
        <v>NECTARMANGOJUMEX960ML(12)TETRA</v>
      </c>
      <c r="G229" t="s">
        <v>2913</v>
      </c>
      <c r="H229" s="2">
        <v>8.5479227128228976E-4</v>
      </c>
    </row>
    <row r="230" spans="1:8" x14ac:dyDescent="0.3">
      <c r="A230" t="s">
        <v>1127</v>
      </c>
      <c r="B230" t="s">
        <v>1128</v>
      </c>
      <c r="C230">
        <v>12</v>
      </c>
      <c r="D230">
        <f t="shared" si="15"/>
        <v>12</v>
      </c>
      <c r="E230" t="str">
        <f t="shared" si="16"/>
        <v/>
      </c>
      <c r="F230" t="str">
        <f t="shared" si="17"/>
        <v>LECHEDESLACTOSADALIGHTLALA1L(12)</v>
      </c>
      <c r="G230" t="s">
        <v>2924</v>
      </c>
      <c r="H230" s="2">
        <v>8.5069935468767323E-4</v>
      </c>
    </row>
    <row r="231" spans="1:8" x14ac:dyDescent="0.3">
      <c r="A231" t="s">
        <v>761</v>
      </c>
      <c r="B231" t="s">
        <v>762</v>
      </c>
      <c r="C231">
        <v>24</v>
      </c>
      <c r="D231">
        <f t="shared" si="15"/>
        <v>24</v>
      </c>
      <c r="E231" t="str">
        <f t="shared" si="16"/>
        <v/>
      </c>
      <c r="F231" t="str">
        <f t="shared" si="17"/>
        <v>PAPELALUMINIOAHORRAMAS7MTS(24)</v>
      </c>
      <c r="G231" t="s">
        <v>2741</v>
      </c>
      <c r="H231" s="2">
        <v>8.440805470875456E-4</v>
      </c>
    </row>
    <row r="232" spans="1:8" x14ac:dyDescent="0.3">
      <c r="A232" t="s">
        <v>231</v>
      </c>
      <c r="B232" t="s">
        <v>232</v>
      </c>
      <c r="C232">
        <v>12</v>
      </c>
      <c r="D232">
        <f t="shared" si="15"/>
        <v>12</v>
      </c>
      <c r="E232" t="str">
        <f t="shared" si="16"/>
        <v/>
      </c>
      <c r="F232" t="str">
        <f t="shared" si="17"/>
        <v>CONCENTRADOLIMONFRUTIVA1L(12)</v>
      </c>
      <c r="G232" t="s">
        <v>2476</v>
      </c>
      <c r="H232" s="2">
        <v>8.3816633814576746E-4</v>
      </c>
    </row>
    <row r="233" spans="1:8" x14ac:dyDescent="0.3">
      <c r="A233" t="s">
        <v>1458</v>
      </c>
      <c r="B233" t="s">
        <v>1459</v>
      </c>
      <c r="C233">
        <v>6</v>
      </c>
      <c r="D233">
        <f t="shared" si="15"/>
        <v>6</v>
      </c>
      <c r="E233" t="str">
        <f t="shared" si="16"/>
        <v/>
      </c>
      <c r="F233" t="str">
        <f t="shared" si="17"/>
        <v>CHICHAROHERDEZ2.9KG(6)</v>
      </c>
      <c r="G233" t="s">
        <v>3089</v>
      </c>
      <c r="H233" s="2">
        <v>8.3709287261859858E-4</v>
      </c>
    </row>
    <row r="234" spans="1:8" x14ac:dyDescent="0.3">
      <c r="A234" t="s">
        <v>1185</v>
      </c>
      <c r="B234" t="s">
        <v>1186</v>
      </c>
      <c r="C234">
        <v>10</v>
      </c>
      <c r="D234">
        <f t="shared" si="15"/>
        <v>10</v>
      </c>
      <c r="E234" t="str">
        <f t="shared" si="16"/>
        <v/>
      </c>
      <c r="F234" t="str">
        <f t="shared" si="17"/>
        <v>GELATINAAGUANARANJAD'GARI720G(10)</v>
      </c>
      <c r="G234" t="s">
        <v>2953</v>
      </c>
      <c r="H234" s="2">
        <v>8.2419629079221498E-4</v>
      </c>
    </row>
    <row r="235" spans="1:8" x14ac:dyDescent="0.3">
      <c r="A235" t="s">
        <v>2325</v>
      </c>
      <c r="B235" t="s">
        <v>2326</v>
      </c>
      <c r="C235">
        <v>6</v>
      </c>
      <c r="D235">
        <f t="shared" si="15"/>
        <v>6</v>
      </c>
      <c r="E235" t="str">
        <f t="shared" si="16"/>
        <v/>
      </c>
      <c r="F235" t="str">
        <f t="shared" si="17"/>
        <v>SALSABOTANERAROJA4LTS(6)</v>
      </c>
      <c r="G235" t="s">
        <v>3522</v>
      </c>
      <c r="H235" s="2">
        <v>8.1782607721099521E-4</v>
      </c>
    </row>
    <row r="236" spans="1:8" x14ac:dyDescent="0.3">
      <c r="A236" t="s">
        <v>981</v>
      </c>
      <c r="B236" t="s">
        <v>982</v>
      </c>
      <c r="C236">
        <v>24</v>
      </c>
      <c r="D236">
        <f t="shared" si="15"/>
        <v>24</v>
      </c>
      <c r="E236" t="str">
        <f t="shared" si="16"/>
        <v/>
      </c>
      <c r="F236" t="str">
        <f t="shared" si="17"/>
        <v>ELOTEGRANODELMONTE225GR(24)</v>
      </c>
      <c r="G236" t="s">
        <v>2851</v>
      </c>
      <c r="H236" s="2">
        <v>8.0508459980485961E-4</v>
      </c>
    </row>
    <row r="237" spans="1:8" x14ac:dyDescent="0.3">
      <c r="A237" t="s">
        <v>2159</v>
      </c>
      <c r="B237" t="s">
        <v>2160</v>
      </c>
      <c r="C237">
        <v>4</v>
      </c>
      <c r="D237">
        <f t="shared" si="15"/>
        <v>4</v>
      </c>
      <c r="E237" t="str">
        <f t="shared" si="16"/>
        <v/>
      </c>
      <c r="F237" t="str">
        <f t="shared" si="17"/>
        <v>SOPAKNORRARROZROJO3KG(4)</v>
      </c>
      <c r="G237" t="s">
        <v>3439</v>
      </c>
      <c r="H237" s="2">
        <v>8.0505814724626649E-4</v>
      </c>
    </row>
    <row r="238" spans="1:8" x14ac:dyDescent="0.3">
      <c r="A238" t="s">
        <v>1183</v>
      </c>
      <c r="B238" t="s">
        <v>1184</v>
      </c>
      <c r="C238">
        <v>10</v>
      </c>
      <c r="D238">
        <f t="shared" si="15"/>
        <v>10</v>
      </c>
      <c r="E238" t="str">
        <f t="shared" si="16"/>
        <v/>
      </c>
      <c r="F238" t="str">
        <f t="shared" si="17"/>
        <v>GELATINAAGUALIMOND'GARI720G(10)</v>
      </c>
      <c r="G238" t="s">
        <v>2952</v>
      </c>
      <c r="H238" s="2">
        <v>8.0345415755635945E-4</v>
      </c>
    </row>
    <row r="239" spans="1:8" x14ac:dyDescent="0.3">
      <c r="A239" t="s">
        <v>175</v>
      </c>
      <c r="B239" t="s">
        <v>176</v>
      </c>
      <c r="C239">
        <v>10</v>
      </c>
      <c r="D239">
        <f t="shared" si="15"/>
        <v>10</v>
      </c>
      <c r="E239" t="str">
        <f t="shared" si="16"/>
        <v/>
      </c>
      <c r="F239" t="str">
        <f t="shared" si="17"/>
        <v>CAFEMOLIDODESCAFEINALAFUENTE500G(10</v>
      </c>
      <c r="G239" t="s">
        <v>2448</v>
      </c>
      <c r="H239" s="2">
        <v>7.9417504127530353E-4</v>
      </c>
    </row>
    <row r="240" spans="1:8" x14ac:dyDescent="0.3">
      <c r="A240" t="s">
        <v>69</v>
      </c>
      <c r="B240" t="s">
        <v>70</v>
      </c>
      <c r="C240">
        <v>1</v>
      </c>
      <c r="D240" t="str">
        <f t="shared" si="15"/>
        <v/>
      </c>
      <c r="E240" t="str">
        <f t="shared" si="16"/>
        <v/>
      </c>
      <c r="F240" t="str">
        <f t="shared" si="17"/>
        <v>ACEITECRISTALCANOLA20LBIDON</v>
      </c>
      <c r="G240" t="s">
        <v>2395</v>
      </c>
      <c r="H240" s="2">
        <v>7.841146551236845E-4</v>
      </c>
    </row>
    <row r="241" spans="1:8" x14ac:dyDescent="0.3">
      <c r="A241" t="s">
        <v>575</v>
      </c>
      <c r="B241" t="s">
        <v>576</v>
      </c>
      <c r="C241">
        <v>20</v>
      </c>
      <c r="D241">
        <f t="shared" si="15"/>
        <v>20</v>
      </c>
      <c r="E241" t="str">
        <f t="shared" si="16"/>
        <v/>
      </c>
      <c r="F241" t="str">
        <f t="shared" si="17"/>
        <v>PASTAFIORDIP.CODO200GR(20)</v>
      </c>
      <c r="G241" t="s">
        <v>2648</v>
      </c>
      <c r="H241" s="2">
        <v>7.7673554890824413E-4</v>
      </c>
    </row>
    <row r="242" spans="1:8" x14ac:dyDescent="0.3">
      <c r="A242" t="s">
        <v>1053</v>
      </c>
      <c r="B242" t="s">
        <v>1054</v>
      </c>
      <c r="C242">
        <v>12</v>
      </c>
      <c r="D242">
        <f t="shared" si="15"/>
        <v>12</v>
      </c>
      <c r="E242" t="str">
        <f t="shared" si="16"/>
        <v/>
      </c>
      <c r="F242" t="str">
        <f t="shared" si="17"/>
        <v>SALSACHOLULA150ML(12)</v>
      </c>
      <c r="G242" t="s">
        <v>2887</v>
      </c>
      <c r="H242" s="2">
        <v>7.7620959597161346E-4</v>
      </c>
    </row>
    <row r="243" spans="1:8" x14ac:dyDescent="0.3">
      <c r="A243" t="s">
        <v>1237</v>
      </c>
      <c r="B243" t="s">
        <v>1238</v>
      </c>
      <c r="C243">
        <v>12</v>
      </c>
      <c r="D243">
        <f t="shared" si="15"/>
        <v>12</v>
      </c>
      <c r="E243">
        <f t="shared" si="16"/>
        <v>24</v>
      </c>
      <c r="F243" t="str">
        <f t="shared" si="17"/>
        <v>-CONSOMATEC/24PZA(12)TIRA</v>
      </c>
      <c r="G243" t="s">
        <v>2979</v>
      </c>
      <c r="H243" s="2">
        <v>7.697548178910112E-4</v>
      </c>
    </row>
    <row r="244" spans="1:8" x14ac:dyDescent="0.3">
      <c r="A244" t="s">
        <v>1243</v>
      </c>
      <c r="B244" t="s">
        <v>1244</v>
      </c>
      <c r="C244">
        <v>1</v>
      </c>
      <c r="D244" t="str">
        <f t="shared" si="15"/>
        <v/>
      </c>
      <c r="E244" t="str">
        <f t="shared" si="16"/>
        <v/>
      </c>
      <c r="F244" t="str">
        <f t="shared" si="17"/>
        <v>SPLENDAC/2000/1G</v>
      </c>
      <c r="G244" t="s">
        <v>2982</v>
      </c>
      <c r="H244" s="2">
        <v>7.6759934220995221E-4</v>
      </c>
    </row>
    <row r="245" spans="1:8" x14ac:dyDescent="0.3">
      <c r="A245" t="s">
        <v>2157</v>
      </c>
      <c r="B245" t="s">
        <v>2158</v>
      </c>
      <c r="C245">
        <v>4</v>
      </c>
      <c r="D245">
        <f t="shared" si="15"/>
        <v>4</v>
      </c>
      <c r="E245" t="str">
        <f t="shared" si="16"/>
        <v/>
      </c>
      <c r="F245" t="str">
        <f t="shared" si="17"/>
        <v>SOPAKNORRARROZBLANCO3KG(4)</v>
      </c>
      <c r="G245" t="s">
        <v>3438</v>
      </c>
      <c r="H245" s="2">
        <v>7.6617759932883747E-4</v>
      </c>
    </row>
    <row r="246" spans="1:8" x14ac:dyDescent="0.3">
      <c r="A246" t="s">
        <v>643</v>
      </c>
      <c r="B246" t="s">
        <v>644</v>
      </c>
      <c r="C246">
        <v>1</v>
      </c>
      <c r="D246" t="str">
        <f t="shared" si="15"/>
        <v/>
      </c>
      <c r="E246" t="str">
        <f t="shared" si="16"/>
        <v/>
      </c>
      <c r="F246" t="str">
        <f t="shared" ref="F246:F262" si="18">SUBSTITUTE(UPPER(CLEAN(B246))," ","")</f>
        <v>SALSALAGUACAMAYAHABANERA500/9ML</v>
      </c>
      <c r="G246" t="s">
        <v>2682</v>
      </c>
      <c r="H246" s="2">
        <v>7.6477199384665235E-4</v>
      </c>
    </row>
    <row r="247" spans="1:8" x14ac:dyDescent="0.3">
      <c r="A247" t="s">
        <v>199</v>
      </c>
      <c r="B247" t="s">
        <v>200</v>
      </c>
      <c r="C247">
        <v>6</v>
      </c>
      <c r="D247">
        <f t="shared" si="15"/>
        <v>6</v>
      </c>
      <c r="E247" t="str">
        <f t="shared" si="16"/>
        <v/>
      </c>
      <c r="F247" t="str">
        <f t="shared" si="18"/>
        <v>CHILECHIPOTLEELMEXICANO2.8K(6)</v>
      </c>
      <c r="G247" t="s">
        <v>2460</v>
      </c>
      <c r="H247" s="2">
        <v>7.6028528794575359E-4</v>
      </c>
    </row>
    <row r="248" spans="1:8" x14ac:dyDescent="0.3">
      <c r="A248" t="s">
        <v>1341</v>
      </c>
      <c r="B248" t="s">
        <v>1342</v>
      </c>
      <c r="C248">
        <v>8</v>
      </c>
      <c r="D248">
        <f t="shared" si="15"/>
        <v>8</v>
      </c>
      <c r="E248" t="str">
        <f t="shared" si="16"/>
        <v/>
      </c>
      <c r="F248" t="str">
        <f t="shared" si="18"/>
        <v>PASTAFUSILLIBARILLA1KG(8)</v>
      </c>
      <c r="G248" t="s">
        <v>3031</v>
      </c>
      <c r="H248" s="2">
        <v>7.4667887162601515E-4</v>
      </c>
    </row>
    <row r="249" spans="1:8" x14ac:dyDescent="0.3">
      <c r="A249" t="s">
        <v>243</v>
      </c>
      <c r="B249" t="s">
        <v>244</v>
      </c>
      <c r="C249">
        <v>12</v>
      </c>
      <c r="D249">
        <f t="shared" si="15"/>
        <v>12</v>
      </c>
      <c r="E249" t="str">
        <f t="shared" si="16"/>
        <v/>
      </c>
      <c r="F249" t="str">
        <f t="shared" si="18"/>
        <v>CONCENTRADOTRAD.FRUTIVAJAMAICA1LT(12)</v>
      </c>
      <c r="G249" t="s">
        <v>2482</v>
      </c>
      <c r="H249" s="2">
        <v>7.4657663341470219E-4</v>
      </c>
    </row>
    <row r="250" spans="1:8" x14ac:dyDescent="0.3">
      <c r="A250" t="s">
        <v>1448</v>
      </c>
      <c r="B250" t="s">
        <v>1449</v>
      </c>
      <c r="C250">
        <v>24</v>
      </c>
      <c r="D250">
        <f t="shared" si="15"/>
        <v>24</v>
      </c>
      <c r="E250" t="str">
        <f t="shared" si="16"/>
        <v/>
      </c>
      <c r="F250" t="str">
        <f t="shared" si="18"/>
        <v>CHAMPINONREBA.HERDEZ186GR(24)</v>
      </c>
      <c r="G250" t="s">
        <v>3084</v>
      </c>
      <c r="H250" s="2">
        <v>7.4567751971501726E-4</v>
      </c>
    </row>
    <row r="251" spans="1:8" x14ac:dyDescent="0.3">
      <c r="A251" t="s">
        <v>2239</v>
      </c>
      <c r="B251" t="s">
        <v>2240</v>
      </c>
      <c r="C251">
        <v>48</v>
      </c>
      <c r="D251">
        <f t="shared" si="15"/>
        <v>48</v>
      </c>
      <c r="E251" t="str">
        <f t="shared" si="16"/>
        <v/>
      </c>
      <c r="F251" t="str">
        <f t="shared" si="18"/>
        <v>DETERGENTEAXION250GR(48)</v>
      </c>
      <c r="G251" t="s">
        <v>3479</v>
      </c>
      <c r="H251" s="2">
        <v>7.4432325558912969E-4</v>
      </c>
    </row>
    <row r="252" spans="1:8" x14ac:dyDescent="0.3">
      <c r="A252" t="s">
        <v>227</v>
      </c>
      <c r="B252" t="s">
        <v>228</v>
      </c>
      <c r="C252">
        <v>12</v>
      </c>
      <c r="D252">
        <f t="shared" si="15"/>
        <v>12</v>
      </c>
      <c r="E252" t="str">
        <f t="shared" si="16"/>
        <v/>
      </c>
      <c r="F252" t="str">
        <f t="shared" si="18"/>
        <v>CONCENTRADOTRADFRUTIVAHORCHATA1L(12)</v>
      </c>
      <c r="G252" t="s">
        <v>2474</v>
      </c>
      <c r="H252" s="2">
        <v>7.2501600249005426E-4</v>
      </c>
    </row>
    <row r="253" spans="1:8" x14ac:dyDescent="0.3">
      <c r="A253" t="s">
        <v>13</v>
      </c>
      <c r="B253" t="s">
        <v>14</v>
      </c>
      <c r="C253">
        <v>12</v>
      </c>
      <c r="D253">
        <f t="shared" si="15"/>
        <v>12</v>
      </c>
      <c r="E253" t="str">
        <f t="shared" si="16"/>
        <v/>
      </c>
      <c r="F253" t="str">
        <f t="shared" si="18"/>
        <v>CONCENTRADOMANGOFRUTIVA1L(12)</v>
      </c>
      <c r="G253" t="s">
        <v>2367</v>
      </c>
      <c r="H253" s="2">
        <v>7.1943409953008082E-4</v>
      </c>
    </row>
    <row r="254" spans="1:8" x14ac:dyDescent="0.3">
      <c r="A254" t="s">
        <v>2349</v>
      </c>
      <c r="B254" t="s">
        <v>2350</v>
      </c>
      <c r="C254">
        <v>12</v>
      </c>
      <c r="D254">
        <f t="shared" si="15"/>
        <v>12</v>
      </c>
      <c r="E254" t="str">
        <f t="shared" si="16"/>
        <v/>
      </c>
      <c r="F254" t="str">
        <f t="shared" si="18"/>
        <v>ACEITUNAC/PIMIENTOCARBONELL350G(12)</v>
      </c>
      <c r="G254" t="s">
        <v>3534</v>
      </c>
      <c r="H254" s="2">
        <v>7.1593979399243285E-4</v>
      </c>
    </row>
    <row r="255" spans="1:8" x14ac:dyDescent="0.3">
      <c r="A255" t="s">
        <v>2245</v>
      </c>
      <c r="B255" t="s">
        <v>2246</v>
      </c>
      <c r="C255">
        <v>12</v>
      </c>
      <c r="D255">
        <f t="shared" si="15"/>
        <v>12</v>
      </c>
      <c r="E255" t="str">
        <f t="shared" si="16"/>
        <v/>
      </c>
      <c r="F255" t="str">
        <f t="shared" si="18"/>
        <v>#FABULOSOLAVANDA1L(12)</v>
      </c>
      <c r="G255" t="s">
        <v>3482</v>
      </c>
      <c r="H255" s="2">
        <v>7.1364770942898483E-4</v>
      </c>
    </row>
    <row r="256" spans="1:8" x14ac:dyDescent="0.3">
      <c r="A256" t="s">
        <v>1624</v>
      </c>
      <c r="B256" t="s">
        <v>1625</v>
      </c>
      <c r="C256">
        <v>12</v>
      </c>
      <c r="D256">
        <f t="shared" si="15"/>
        <v>12</v>
      </c>
      <c r="E256" t="str">
        <f t="shared" si="16"/>
        <v/>
      </c>
      <c r="F256" t="str">
        <f t="shared" si="18"/>
        <v>ATEMEMBRILLOCOSTEÑA700G(12)</v>
      </c>
      <c r="G256" t="s">
        <v>3172</v>
      </c>
      <c r="H256" s="2">
        <v>7.0597264977056713E-4</v>
      </c>
    </row>
    <row r="257" spans="1:8" x14ac:dyDescent="0.3">
      <c r="A257" t="s">
        <v>2127</v>
      </c>
      <c r="B257" t="s">
        <v>2128</v>
      </c>
      <c r="C257">
        <v>12</v>
      </c>
      <c r="D257">
        <f t="shared" si="15"/>
        <v>12</v>
      </c>
      <c r="E257" t="str">
        <f t="shared" si="16"/>
        <v/>
      </c>
      <c r="F257" t="str">
        <f t="shared" si="18"/>
        <v>PIÑAREBANADACLEMENTEJACQUES800G(12)</v>
      </c>
      <c r="G257" t="s">
        <v>3423</v>
      </c>
      <c r="H257" s="2">
        <v>7.0562958876640698E-4</v>
      </c>
    </row>
    <row r="258" spans="1:8" x14ac:dyDescent="0.3">
      <c r="A258" t="s">
        <v>1720</v>
      </c>
      <c r="B258" t="s">
        <v>1721</v>
      </c>
      <c r="C258">
        <v>48</v>
      </c>
      <c r="D258">
        <f t="shared" ref="D258:D321" si="19">IFERROR(VALUE(IFERROR(
    MID(G258,FIND("(",G258)+1,FIND(")",G258)-FIND("(",G258)-1),
    IFERROR(
        MID(G258,FIND("(",G258)+1,LEN(G258)-FIND("(",G258)),
        ""
    )
)),"")</f>
        <v>48</v>
      </c>
      <c r="E258" t="str">
        <f t="shared" ref="E258:E321" si="20">IFERROR(VALUE(MID(SUBSTITUTE(G258," ",""),
FIND("/",SUBSTITUTE(G258," ",""))+1,
MIN(IFERROR(FIND("PZS",SUBSTITUTE(G258," ","")),999),
    IFERROR(FIND("PZA",SUBSTITUTE(G258," ","")),999))
-FIND("/",SUBSTITUTE(G258," ",""))-1)),"")</f>
        <v/>
      </c>
      <c r="F258" t="str">
        <f t="shared" si="18"/>
        <v>ATUNENAGUACONACEITETUNY130G(48)</v>
      </c>
      <c r="G258" t="s">
        <v>3220</v>
      </c>
      <c r="H258" s="2">
        <v>7.0503004307783963E-4</v>
      </c>
    </row>
    <row r="259" spans="1:8" x14ac:dyDescent="0.3">
      <c r="A259" t="s">
        <v>1931</v>
      </c>
      <c r="B259" t="s">
        <v>1932</v>
      </c>
      <c r="C259">
        <v>4</v>
      </c>
      <c r="D259">
        <f t="shared" si="19"/>
        <v>4</v>
      </c>
      <c r="E259" t="str">
        <f t="shared" si="20"/>
        <v/>
      </c>
      <c r="F259" t="str">
        <f t="shared" si="18"/>
        <v>%PUREPAPAKNORR3KG(4)</v>
      </c>
      <c r="G259" t="s">
        <v>3325</v>
      </c>
      <c r="H259" s="2">
        <v>7.0452910374380713E-4</v>
      </c>
    </row>
    <row r="260" spans="1:8" x14ac:dyDescent="0.3">
      <c r="A260" t="s">
        <v>1937</v>
      </c>
      <c r="B260" t="s">
        <v>1938</v>
      </c>
      <c r="C260">
        <v>4</v>
      </c>
      <c r="D260">
        <f t="shared" si="19"/>
        <v>4</v>
      </c>
      <c r="E260" t="str">
        <f t="shared" si="20"/>
        <v/>
      </c>
      <c r="F260" t="str">
        <f t="shared" si="18"/>
        <v>ADEREZOMILISLASHELLMANN´S3.8KG(4)</v>
      </c>
      <c r="G260" t="s">
        <v>3328</v>
      </c>
      <c r="H260" s="2">
        <v>6.904170626062556E-4</v>
      </c>
    </row>
    <row r="261" spans="1:8" x14ac:dyDescent="0.3">
      <c r="A261" t="s">
        <v>1444</v>
      </c>
      <c r="B261" t="s">
        <v>1445</v>
      </c>
      <c r="C261">
        <v>12</v>
      </c>
      <c r="D261">
        <f t="shared" si="19"/>
        <v>12</v>
      </c>
      <c r="E261" t="str">
        <f t="shared" si="20"/>
        <v/>
      </c>
      <c r="F261" t="str">
        <f t="shared" si="18"/>
        <v>ACEITEOLIVAE.VCARBONELL250ML(12)</v>
      </c>
      <c r="G261" t="s">
        <v>3082</v>
      </c>
      <c r="H261" s="2">
        <v>6.8727833718649448E-4</v>
      </c>
    </row>
    <row r="262" spans="1:8" x14ac:dyDescent="0.3">
      <c r="A262" t="s">
        <v>645</v>
      </c>
      <c r="B262" t="s">
        <v>646</v>
      </c>
      <c r="C262">
        <v>12</v>
      </c>
      <c r="D262">
        <f t="shared" si="19"/>
        <v>12</v>
      </c>
      <c r="E262" t="str">
        <f t="shared" si="20"/>
        <v/>
      </c>
      <c r="F262" t="str">
        <f t="shared" si="18"/>
        <v>SALSALOLTUNHABANERAROJA950ML(12)</v>
      </c>
      <c r="G262" t="s">
        <v>2683</v>
      </c>
      <c r="H262" s="2">
        <v>6.7969220419429892E-4</v>
      </c>
    </row>
    <row r="263" spans="1:8" x14ac:dyDescent="0.3">
      <c r="A263" t="s">
        <v>859</v>
      </c>
      <c r="B263" t="s">
        <v>860</v>
      </c>
      <c r="C263">
        <v>72</v>
      </c>
      <c r="D263">
        <f t="shared" si="19"/>
        <v>72</v>
      </c>
      <c r="E263" t="str">
        <f t="shared" si="20"/>
        <v/>
      </c>
      <c r="F263" t="str">
        <f>SUBSTITUTE(UPPER(CLEAN(G263))," ","")</f>
        <v>FIBRANEGRAP76PZA92MMX146MM(72)</v>
      </c>
      <c r="G263" t="s">
        <v>2790</v>
      </c>
      <c r="H263" s="2">
        <v>6.7105442909123577E-4</v>
      </c>
    </row>
    <row r="264" spans="1:8" x14ac:dyDescent="0.3">
      <c r="A264" t="s">
        <v>1618</v>
      </c>
      <c r="B264" t="s">
        <v>1619</v>
      </c>
      <c r="C264">
        <v>12</v>
      </c>
      <c r="D264">
        <f t="shared" si="19"/>
        <v>12</v>
      </c>
      <c r="E264" t="str">
        <f t="shared" si="20"/>
        <v/>
      </c>
      <c r="F264" t="str">
        <f t="shared" ref="F264:F272" si="21">SUBSTITUTE(UPPER(CLEAN(B264))," ","")</f>
        <v>MANGOREBANADOCOSTEÑA820G(12)</v>
      </c>
      <c r="G264" t="s">
        <v>3169</v>
      </c>
      <c r="H264" s="2">
        <v>6.7093641943672994E-4</v>
      </c>
    </row>
    <row r="265" spans="1:8" x14ac:dyDescent="0.3">
      <c r="A265" t="s">
        <v>233</v>
      </c>
      <c r="B265" t="s">
        <v>234</v>
      </c>
      <c r="C265">
        <v>12</v>
      </c>
      <c r="D265">
        <f t="shared" si="19"/>
        <v>12</v>
      </c>
      <c r="E265" t="str">
        <f t="shared" si="20"/>
        <v/>
      </c>
      <c r="F265" t="str">
        <f t="shared" si="21"/>
        <v>CONCENTRADOTAMARINDOFRUTIVA1L(12)</v>
      </c>
      <c r="G265" t="s">
        <v>2477</v>
      </c>
      <c r="H265" s="2">
        <v>6.687334138998517E-4</v>
      </c>
    </row>
    <row r="266" spans="1:8" x14ac:dyDescent="0.3">
      <c r="A266" t="s">
        <v>1542</v>
      </c>
      <c r="B266" t="s">
        <v>1543</v>
      </c>
      <c r="C266">
        <v>36</v>
      </c>
      <c r="D266">
        <f t="shared" si="19"/>
        <v>36</v>
      </c>
      <c r="E266" t="str">
        <f t="shared" si="20"/>
        <v/>
      </c>
      <c r="F266" t="str">
        <f t="shared" si="21"/>
        <v>AVENACONCEREAL3MIN.400GBOTE(36)</v>
      </c>
      <c r="G266" t="s">
        <v>3131</v>
      </c>
      <c r="H266" s="2">
        <v>6.6678178664673438E-4</v>
      </c>
    </row>
    <row r="267" spans="1:8" x14ac:dyDescent="0.3">
      <c r="A267" t="s">
        <v>621</v>
      </c>
      <c r="B267" t="s">
        <v>622</v>
      </c>
      <c r="C267">
        <v>16</v>
      </c>
      <c r="D267">
        <f t="shared" si="19"/>
        <v>16</v>
      </c>
      <c r="E267" t="str">
        <f t="shared" si="20"/>
        <v/>
      </c>
      <c r="F267" t="str">
        <f t="shared" si="21"/>
        <v>SALLAFINASALERO250GR.(16)</v>
      </c>
      <c r="G267" t="s">
        <v>2671</v>
      </c>
      <c r="H267" s="2">
        <v>6.6584960526676242E-4</v>
      </c>
    </row>
    <row r="268" spans="1:8" x14ac:dyDescent="0.3">
      <c r="A268" t="s">
        <v>345</v>
      </c>
      <c r="B268" t="s">
        <v>346</v>
      </c>
      <c r="C268">
        <v>8</v>
      </c>
      <c r="D268" t="str">
        <f t="shared" si="19"/>
        <v/>
      </c>
      <c r="E268" t="str">
        <f t="shared" si="20"/>
        <v/>
      </c>
      <c r="F268" t="str">
        <f t="shared" si="21"/>
        <v>ENDULZANTESTEVIAC/700/1G</v>
      </c>
      <c r="G268" t="s">
        <v>2533</v>
      </c>
      <c r="H268" s="2">
        <v>6.6358843522332212E-4</v>
      </c>
    </row>
    <row r="269" spans="1:8" x14ac:dyDescent="0.3">
      <c r="A269" t="s">
        <v>1823</v>
      </c>
      <c r="B269" t="s">
        <v>1824</v>
      </c>
      <c r="C269">
        <v>4</v>
      </c>
      <c r="D269">
        <f t="shared" si="19"/>
        <v>4</v>
      </c>
      <c r="E269" t="str">
        <f t="shared" si="20"/>
        <v/>
      </c>
      <c r="F269" t="str">
        <f t="shared" si="21"/>
        <v>PEPINILLOREBSANMIGUEL3.940KG(4)</v>
      </c>
      <c r="G269" t="s">
        <v>3271</v>
      </c>
      <c r="H269" s="2">
        <v>6.5841221223206096E-4</v>
      </c>
    </row>
    <row r="270" spans="1:8" x14ac:dyDescent="0.3">
      <c r="A270" t="s">
        <v>2057</v>
      </c>
      <c r="B270" t="s">
        <v>2058</v>
      </c>
      <c r="C270">
        <v>24</v>
      </c>
      <c r="D270">
        <f t="shared" si="19"/>
        <v>24</v>
      </c>
      <c r="E270" t="str">
        <f t="shared" si="20"/>
        <v/>
      </c>
      <c r="F270" t="str">
        <f t="shared" si="21"/>
        <v>ELOTEGRANOCLEMENTE410GR(24)</v>
      </c>
      <c r="G270" t="s">
        <v>3388</v>
      </c>
      <c r="H270" s="2">
        <v>6.5798252814467208E-4</v>
      </c>
    </row>
    <row r="271" spans="1:8" x14ac:dyDescent="0.3">
      <c r="A271" t="s">
        <v>1995</v>
      </c>
      <c r="B271" t="s">
        <v>1996</v>
      </c>
      <c r="C271">
        <v>40</v>
      </c>
      <c r="D271">
        <f t="shared" si="19"/>
        <v>40</v>
      </c>
      <c r="E271" t="str">
        <f t="shared" si="20"/>
        <v/>
      </c>
      <c r="F271" t="str">
        <f t="shared" si="21"/>
        <v>MAIZENA425G(40)</v>
      </c>
      <c r="G271" t="s">
        <v>3357</v>
      </c>
      <c r="H271" s="2">
        <v>6.5423025539322773E-4</v>
      </c>
    </row>
    <row r="272" spans="1:8" x14ac:dyDescent="0.3">
      <c r="A272" t="s">
        <v>1311</v>
      </c>
      <c r="B272" t="s">
        <v>1312</v>
      </c>
      <c r="C272">
        <v>4</v>
      </c>
      <c r="D272">
        <f t="shared" si="19"/>
        <v>4</v>
      </c>
      <c r="E272" t="str">
        <f t="shared" si="20"/>
        <v/>
      </c>
      <c r="F272" t="str">
        <f t="shared" si="21"/>
        <v>-MOSTAZAHEINZPOUCH3KG(4)</v>
      </c>
      <c r="G272" t="s">
        <v>3016</v>
      </c>
      <c r="H272" s="2">
        <v>6.5275817968532697E-4</v>
      </c>
    </row>
    <row r="273" spans="1:8" x14ac:dyDescent="0.3">
      <c r="A273" t="s">
        <v>109</v>
      </c>
      <c r="B273" t="s">
        <v>110</v>
      </c>
      <c r="C273">
        <v>12</v>
      </c>
      <c r="D273">
        <f t="shared" si="19"/>
        <v>12</v>
      </c>
      <c r="E273" t="str">
        <f t="shared" si="20"/>
        <v/>
      </c>
      <c r="F273" t="str">
        <f>SUBSTITUTE(UPPER(CLEAN(G273))," ","")</f>
        <v>AGUAPURIFICADABONAFONT600ML(12)</v>
      </c>
      <c r="G273" t="s">
        <v>2415</v>
      </c>
      <c r="H273" s="2">
        <v>6.486609972302037E-4</v>
      </c>
    </row>
    <row r="274" spans="1:8" x14ac:dyDescent="0.3">
      <c r="A274" t="s">
        <v>1033</v>
      </c>
      <c r="B274" t="s">
        <v>1034</v>
      </c>
      <c r="C274">
        <v>24</v>
      </c>
      <c r="D274">
        <f t="shared" si="19"/>
        <v>24</v>
      </c>
      <c r="E274" t="str">
        <f t="shared" si="20"/>
        <v/>
      </c>
      <c r="F274" t="str">
        <f>SUBSTITUTE(UPPER(CLEAN(B274))," ","")</f>
        <v>CHICHARODELMONTE410GR(24)</v>
      </c>
      <c r="G274" t="s">
        <v>2877</v>
      </c>
      <c r="H274" s="2">
        <v>6.4132758453544535E-4</v>
      </c>
    </row>
    <row r="275" spans="1:8" x14ac:dyDescent="0.3">
      <c r="A275" t="s">
        <v>377</v>
      </c>
      <c r="B275" t="s">
        <v>378</v>
      </c>
      <c r="C275">
        <v>12</v>
      </c>
      <c r="D275">
        <f t="shared" si="19"/>
        <v>12</v>
      </c>
      <c r="E275" t="str">
        <f t="shared" si="20"/>
        <v/>
      </c>
      <c r="F275" t="str">
        <f>SUBSTITUTE(UPPER(CLEAN(B275))," ","")</f>
        <v>PAPRIKAPRAGNA616G(12)</v>
      </c>
      <c r="G275" t="s">
        <v>2549</v>
      </c>
      <c r="H275" s="2">
        <v>6.4130668847765923E-4</v>
      </c>
    </row>
    <row r="276" spans="1:8" x14ac:dyDescent="0.3">
      <c r="A276" t="s">
        <v>1684</v>
      </c>
      <c r="B276" t="s">
        <v>1685</v>
      </c>
      <c r="C276">
        <v>10</v>
      </c>
      <c r="D276">
        <f t="shared" si="19"/>
        <v>10</v>
      </c>
      <c r="E276">
        <f t="shared" si="20"/>
        <v>100</v>
      </c>
      <c r="F276" t="str">
        <f>SUBSTITUTE(UPPER(CLEAN(B276))," ","")</f>
        <v>TEMANZANILLAMC.PTE.C/100PZA(10)</v>
      </c>
      <c r="G276" t="s">
        <v>3202</v>
      </c>
      <c r="H276" s="2">
        <v>6.3387895657970406E-4</v>
      </c>
    </row>
    <row r="277" spans="1:8" x14ac:dyDescent="0.3">
      <c r="A277" t="s">
        <v>861</v>
      </c>
      <c r="B277" t="s">
        <v>862</v>
      </c>
      <c r="C277">
        <v>12</v>
      </c>
      <c r="D277">
        <f t="shared" si="19"/>
        <v>46368</v>
      </c>
      <c r="E277" t="str">
        <f t="shared" si="20"/>
        <v/>
      </c>
      <c r="F277" t="str">
        <f>SUBSTITUTE(UPPER(CLEAN(G277))," ","")</f>
        <v>FIBRAVERDEP96PZA229X152MM(12/12)</v>
      </c>
      <c r="G277" t="s">
        <v>2791</v>
      </c>
      <c r="H277" s="2">
        <v>6.2593810564540468E-4</v>
      </c>
    </row>
    <row r="278" spans="1:8" x14ac:dyDescent="0.3">
      <c r="A278" t="s">
        <v>245</v>
      </c>
      <c r="B278" t="s">
        <v>246</v>
      </c>
      <c r="C278">
        <v>12</v>
      </c>
      <c r="D278">
        <f t="shared" si="19"/>
        <v>12</v>
      </c>
      <c r="E278" t="str">
        <f t="shared" si="20"/>
        <v/>
      </c>
      <c r="F278" t="str">
        <f t="shared" ref="F278:F287" si="22">SUBSTITUTE(UPPER(CLEAN(B278))," ","")</f>
        <v>CONCENTRADOTRAD.FRUTIVAMANGO1LTO(12)</v>
      </c>
      <c r="G278" t="s">
        <v>2483</v>
      </c>
      <c r="H278" s="2">
        <v>6.2270502310235139E-4</v>
      </c>
    </row>
    <row r="279" spans="1:8" x14ac:dyDescent="0.3">
      <c r="A279" t="s">
        <v>351</v>
      </c>
      <c r="B279" t="s">
        <v>352</v>
      </c>
      <c r="C279">
        <v>1</v>
      </c>
      <c r="D279" t="str">
        <f t="shared" si="19"/>
        <v/>
      </c>
      <c r="E279" t="str">
        <f t="shared" si="20"/>
        <v/>
      </c>
      <c r="F279" t="str">
        <f t="shared" si="22"/>
        <v>AZUCARGLASSBULTO25KG</v>
      </c>
      <c r="G279" t="s">
        <v>2536</v>
      </c>
      <c r="H279" s="2">
        <v>6.1926906369029109E-4</v>
      </c>
    </row>
    <row r="280" spans="1:8" x14ac:dyDescent="0.3">
      <c r="A280" t="s">
        <v>661</v>
      </c>
      <c r="B280" t="s">
        <v>662</v>
      </c>
      <c r="C280">
        <v>24</v>
      </c>
      <c r="D280">
        <f t="shared" si="19"/>
        <v>24</v>
      </c>
      <c r="E280" t="str">
        <f t="shared" si="20"/>
        <v/>
      </c>
      <c r="F280" t="str">
        <f t="shared" si="22"/>
        <v>SALSALAGUACAMAYAHABANERA150ML(24)</v>
      </c>
      <c r="G280" t="s">
        <v>2691</v>
      </c>
      <c r="H280" s="2">
        <v>6.1924230017227429E-4</v>
      </c>
    </row>
    <row r="281" spans="1:8" x14ac:dyDescent="0.3">
      <c r="A281" t="s">
        <v>1781</v>
      </c>
      <c r="B281" t="s">
        <v>1782</v>
      </c>
      <c r="C281">
        <v>4</v>
      </c>
      <c r="D281">
        <f t="shared" si="19"/>
        <v>4</v>
      </c>
      <c r="E281" t="str">
        <f t="shared" si="20"/>
        <v/>
      </c>
      <c r="F281" t="str">
        <f t="shared" si="22"/>
        <v>SALSAREDHOTORIGINAL3.78L(4)</v>
      </c>
      <c r="G281" t="s">
        <v>3250</v>
      </c>
      <c r="H281" s="2">
        <v>6.1374244418857082E-4</v>
      </c>
    </row>
    <row r="282" spans="1:8" x14ac:dyDescent="0.3">
      <c r="A282" t="s">
        <v>173</v>
      </c>
      <c r="B282" t="s">
        <v>174</v>
      </c>
      <c r="C282">
        <v>10</v>
      </c>
      <c r="D282">
        <f t="shared" si="19"/>
        <v>10</v>
      </c>
      <c r="E282" t="str">
        <f t="shared" si="20"/>
        <v/>
      </c>
      <c r="F282" t="str">
        <f t="shared" si="22"/>
        <v>CAFEMOLIDOAMERICANOLAFUENTE500G(10</v>
      </c>
      <c r="G282" t="s">
        <v>2447</v>
      </c>
      <c r="H282" s="2">
        <v>6.1287368860008136E-4</v>
      </c>
    </row>
    <row r="283" spans="1:8" x14ac:dyDescent="0.3">
      <c r="A283" t="s">
        <v>1167</v>
      </c>
      <c r="B283" t="s">
        <v>1168</v>
      </c>
      <c r="C283">
        <v>1</v>
      </c>
      <c r="D283" t="str">
        <f t="shared" si="19"/>
        <v/>
      </c>
      <c r="E283" t="str">
        <f t="shared" si="20"/>
        <v/>
      </c>
      <c r="F283" t="str">
        <f t="shared" si="22"/>
        <v>ADEREZOMAYONESAHEINZPORCIONC/200/8G</v>
      </c>
      <c r="G283" t="s">
        <v>2944</v>
      </c>
      <c r="H283" s="2">
        <v>6.072592467823519E-4</v>
      </c>
    </row>
    <row r="284" spans="1:8" x14ac:dyDescent="0.3">
      <c r="A284" t="s">
        <v>641</v>
      </c>
      <c r="B284" t="s">
        <v>642</v>
      </c>
      <c r="C284">
        <v>1</v>
      </c>
      <c r="D284" t="str">
        <f t="shared" si="19"/>
        <v/>
      </c>
      <c r="E284" t="str">
        <f t="shared" si="20"/>
        <v/>
      </c>
      <c r="F284" t="str">
        <f t="shared" si="22"/>
        <v>SALDELAGGPORCC/3000/.5GR</v>
      </c>
      <c r="G284" t="s">
        <v>2681</v>
      </c>
      <c r="H284" s="2">
        <v>6.0240982237547288E-4</v>
      </c>
    </row>
    <row r="285" spans="1:8" x14ac:dyDescent="0.3">
      <c r="A285" t="s">
        <v>1241</v>
      </c>
      <c r="B285" t="s">
        <v>1242</v>
      </c>
      <c r="C285">
        <v>12</v>
      </c>
      <c r="D285">
        <f t="shared" si="19"/>
        <v>12</v>
      </c>
      <c r="E285" t="str">
        <f t="shared" si="20"/>
        <v/>
      </c>
      <c r="F285" t="str">
        <f t="shared" si="22"/>
        <v>-LECHENANNO.2320G(12)</v>
      </c>
      <c r="G285" t="s">
        <v>2981</v>
      </c>
      <c r="H285" s="2">
        <v>5.923782442282294E-4</v>
      </c>
    </row>
    <row r="286" spans="1:8" x14ac:dyDescent="0.3">
      <c r="A286" t="s">
        <v>837</v>
      </c>
      <c r="B286" t="s">
        <v>838</v>
      </c>
      <c r="C286">
        <v>48</v>
      </c>
      <c r="D286">
        <f t="shared" si="19"/>
        <v>48</v>
      </c>
      <c r="E286" t="str">
        <f t="shared" si="20"/>
        <v/>
      </c>
      <c r="F286" t="str">
        <f t="shared" si="22"/>
        <v>-DETER.SALVOPLUS250(48)</v>
      </c>
      <c r="G286" t="s">
        <v>2779</v>
      </c>
      <c r="H286" s="2">
        <v>5.8977157779291052E-4</v>
      </c>
    </row>
    <row r="287" spans="1:8" x14ac:dyDescent="0.3">
      <c r="A287" t="s">
        <v>87</v>
      </c>
      <c r="B287" t="s">
        <v>88</v>
      </c>
      <c r="C287">
        <v>12</v>
      </c>
      <c r="D287">
        <f t="shared" si="19"/>
        <v>12</v>
      </c>
      <c r="E287" t="str">
        <f t="shared" si="20"/>
        <v/>
      </c>
      <c r="F287" t="str">
        <f t="shared" si="22"/>
        <v>ACEITEOLIVAPUROINES1L(12)</v>
      </c>
      <c r="G287" t="s">
        <v>2404</v>
      </c>
      <c r="H287" s="2">
        <v>5.8844288857108119E-4</v>
      </c>
    </row>
    <row r="288" spans="1:8" x14ac:dyDescent="0.3">
      <c r="A288" t="s">
        <v>921</v>
      </c>
      <c r="B288" t="s">
        <v>922</v>
      </c>
      <c r="C288">
        <v>12</v>
      </c>
      <c r="D288">
        <f t="shared" si="19"/>
        <v>12</v>
      </c>
      <c r="E288" t="str">
        <f t="shared" si="20"/>
        <v/>
      </c>
      <c r="F288" t="str">
        <f>SUBSTITUTE(UPPER(CLEAN(G288))," ","")</f>
        <v>SERVILLETAPETALOC/420HOJAS(12)</v>
      </c>
      <c r="G288" t="s">
        <v>2821</v>
      </c>
      <c r="H288" s="2">
        <v>5.7457787289709591E-4</v>
      </c>
    </row>
    <row r="289" spans="1:8" x14ac:dyDescent="0.3">
      <c r="A289" t="s">
        <v>2003</v>
      </c>
      <c r="B289" t="s">
        <v>2004</v>
      </c>
      <c r="C289">
        <v>12</v>
      </c>
      <c r="D289">
        <f t="shared" si="19"/>
        <v>12</v>
      </c>
      <c r="E289" t="str">
        <f t="shared" si="20"/>
        <v/>
      </c>
      <c r="F289" t="str">
        <f t="shared" ref="F289:F305" si="23">SUBSTITUTE(UPPER(CLEAN(B289))," ","")</f>
        <v>MAYONESAHELLMANN´S390G(12)PET</v>
      </c>
      <c r="G289" t="s">
        <v>3361</v>
      </c>
      <c r="H289" s="2">
        <v>5.7269435397018769E-4</v>
      </c>
    </row>
    <row r="290" spans="1:8" x14ac:dyDescent="0.3">
      <c r="A290" t="s">
        <v>375</v>
      </c>
      <c r="B290" t="s">
        <v>376</v>
      </c>
      <c r="C290">
        <v>12</v>
      </c>
      <c r="D290">
        <f t="shared" si="19"/>
        <v>12</v>
      </c>
      <c r="E290" t="str">
        <f t="shared" si="20"/>
        <v/>
      </c>
      <c r="F290" t="str">
        <f t="shared" si="23"/>
        <v>IMITACIONTOCINOPRAGNA520G(12)</v>
      </c>
      <c r="G290" t="s">
        <v>2548</v>
      </c>
      <c r="H290" s="2">
        <v>5.704567912787566E-4</v>
      </c>
    </row>
    <row r="291" spans="1:8" x14ac:dyDescent="0.3">
      <c r="A291" t="s">
        <v>623</v>
      </c>
      <c r="B291" t="s">
        <v>624</v>
      </c>
      <c r="C291">
        <v>12</v>
      </c>
      <c r="D291">
        <f t="shared" si="19"/>
        <v>12</v>
      </c>
      <c r="E291" t="str">
        <f t="shared" si="20"/>
        <v/>
      </c>
      <c r="F291" t="str">
        <f t="shared" si="23"/>
        <v>SALLAFINABOTE1KG.(12)</v>
      </c>
      <c r="G291" t="s">
        <v>2672</v>
      </c>
      <c r="H291" s="2">
        <v>5.6934129407310236E-4</v>
      </c>
    </row>
    <row r="292" spans="1:8" x14ac:dyDescent="0.3">
      <c r="A292" t="s">
        <v>1251</v>
      </c>
      <c r="B292" t="s">
        <v>1252</v>
      </c>
      <c r="C292">
        <v>24</v>
      </c>
      <c r="D292">
        <f t="shared" si="19"/>
        <v>24</v>
      </c>
      <c r="E292" t="str">
        <f t="shared" si="20"/>
        <v/>
      </c>
      <c r="F292" t="str">
        <f t="shared" si="23"/>
        <v>MEDIACREMANESTLE225G(24)</v>
      </c>
      <c r="G292" t="s">
        <v>2986</v>
      </c>
      <c r="H292" s="2">
        <v>5.6672657670023632E-4</v>
      </c>
    </row>
    <row r="293" spans="1:8" x14ac:dyDescent="0.3">
      <c r="A293" t="s">
        <v>1095</v>
      </c>
      <c r="B293" t="s">
        <v>1096</v>
      </c>
      <c r="C293">
        <v>24</v>
      </c>
      <c r="D293">
        <f t="shared" si="19"/>
        <v>24</v>
      </c>
      <c r="E293" t="str">
        <f t="shared" si="20"/>
        <v/>
      </c>
      <c r="F293" t="str">
        <f t="shared" si="23"/>
        <v>REXAL500GR(24)</v>
      </c>
      <c r="G293" t="s">
        <v>2908</v>
      </c>
      <c r="H293" s="2">
        <v>5.6661244334450507E-4</v>
      </c>
    </row>
    <row r="294" spans="1:8" x14ac:dyDescent="0.3">
      <c r="A294" t="s">
        <v>73</v>
      </c>
      <c r="B294" t="s">
        <v>74</v>
      </c>
      <c r="C294">
        <v>12</v>
      </c>
      <c r="D294">
        <f t="shared" si="19"/>
        <v>12</v>
      </c>
      <c r="E294" t="str">
        <f t="shared" si="20"/>
        <v/>
      </c>
      <c r="F294" t="str">
        <f t="shared" si="23"/>
        <v>ACEITE1231L(12)</v>
      </c>
      <c r="G294" t="s">
        <v>2397</v>
      </c>
      <c r="H294" s="2">
        <v>5.6208799362959512E-4</v>
      </c>
    </row>
    <row r="295" spans="1:8" x14ac:dyDescent="0.3">
      <c r="A295" t="s">
        <v>1323</v>
      </c>
      <c r="B295" t="s">
        <v>1324</v>
      </c>
      <c r="C295">
        <v>20</v>
      </c>
      <c r="D295">
        <f t="shared" si="19"/>
        <v>20</v>
      </c>
      <c r="E295" t="str">
        <f t="shared" si="20"/>
        <v/>
      </c>
      <c r="F295" t="str">
        <f t="shared" si="23"/>
        <v>ARROZINTEGRALVERDEVALLE900G(20)</v>
      </c>
      <c r="G295" t="s">
        <v>3022</v>
      </c>
      <c r="H295" s="2">
        <v>5.5907421478524873E-4</v>
      </c>
    </row>
    <row r="296" spans="1:8" x14ac:dyDescent="0.3">
      <c r="A296" t="s">
        <v>1265</v>
      </c>
      <c r="B296" t="s">
        <v>1266</v>
      </c>
      <c r="C296">
        <v>24</v>
      </c>
      <c r="D296">
        <f t="shared" si="19"/>
        <v>24</v>
      </c>
      <c r="E296" t="str">
        <f t="shared" si="20"/>
        <v/>
      </c>
      <c r="F296" t="str">
        <f t="shared" si="23"/>
        <v>DULCEDELECHELALECHERA360G(24)</v>
      </c>
      <c r="G296" t="s">
        <v>2993</v>
      </c>
      <c r="H296" s="2">
        <v>5.5838728590215452E-4</v>
      </c>
    </row>
    <row r="297" spans="1:8" x14ac:dyDescent="0.3">
      <c r="A297" t="s">
        <v>1975</v>
      </c>
      <c r="B297" t="s">
        <v>1976</v>
      </c>
      <c r="C297">
        <v>6</v>
      </c>
      <c r="D297">
        <f t="shared" si="19"/>
        <v>6</v>
      </c>
      <c r="E297" t="str">
        <f t="shared" si="20"/>
        <v/>
      </c>
      <c r="F297" t="str">
        <f t="shared" si="23"/>
        <v>SALSADEMIGLACEGOURMETKNORR1.2KG(6)</v>
      </c>
      <c r="G297" t="s">
        <v>3347</v>
      </c>
      <c r="H297" s="2">
        <v>5.547373610698469E-4</v>
      </c>
    </row>
    <row r="298" spans="1:8" x14ac:dyDescent="0.3">
      <c r="A298" t="s">
        <v>1442</v>
      </c>
      <c r="B298" t="s">
        <v>1443</v>
      </c>
      <c r="C298">
        <v>6</v>
      </c>
      <c r="D298">
        <f t="shared" si="19"/>
        <v>6</v>
      </c>
      <c r="E298" t="str">
        <f t="shared" si="20"/>
        <v/>
      </c>
      <c r="F298" t="str">
        <f t="shared" si="23"/>
        <v>ACEITEOLIVAE.VCARBONELL750ML(6)</v>
      </c>
      <c r="G298" t="s">
        <v>3081</v>
      </c>
      <c r="H298" s="2">
        <v>5.5148980259636692E-4</v>
      </c>
    </row>
    <row r="299" spans="1:8" x14ac:dyDescent="0.3">
      <c r="A299" t="s">
        <v>1510</v>
      </c>
      <c r="B299" t="s">
        <v>1511</v>
      </c>
      <c r="C299">
        <v>4</v>
      </c>
      <c r="D299">
        <f t="shared" si="19"/>
        <v>4</v>
      </c>
      <c r="E299" t="str">
        <f t="shared" si="20"/>
        <v/>
      </c>
      <c r="F299" t="str">
        <f t="shared" si="23"/>
        <v>PASTATOMATEBOLSACOSTEÑA3K*(4)</v>
      </c>
      <c r="G299" t="s">
        <v>3115</v>
      </c>
      <c r="H299" s="2">
        <v>5.5136405977494719E-4</v>
      </c>
    </row>
    <row r="300" spans="1:8" x14ac:dyDescent="0.3">
      <c r="A300" t="s">
        <v>437</v>
      </c>
      <c r="B300" t="s">
        <v>438</v>
      </c>
      <c r="C300">
        <v>12</v>
      </c>
      <c r="D300">
        <f t="shared" si="19"/>
        <v>12</v>
      </c>
      <c r="E300" t="str">
        <f t="shared" si="20"/>
        <v/>
      </c>
      <c r="F300" t="str">
        <f t="shared" si="23"/>
        <v>GELATINAFRESAAJI-JELLY350GR(12)</v>
      </c>
      <c r="G300" t="s">
        <v>2579</v>
      </c>
      <c r="H300" s="2">
        <v>5.437267238222412E-4</v>
      </c>
    </row>
    <row r="301" spans="1:8" x14ac:dyDescent="0.3">
      <c r="A301" t="s">
        <v>1803</v>
      </c>
      <c r="B301" t="s">
        <v>1804</v>
      </c>
      <c r="C301">
        <v>48</v>
      </c>
      <c r="D301">
        <f t="shared" si="19"/>
        <v>48</v>
      </c>
      <c r="E301" t="str">
        <f t="shared" si="20"/>
        <v/>
      </c>
      <c r="F301" t="str">
        <f t="shared" si="23"/>
        <v>CHILERAJASCOSTEÑA220G(48)</v>
      </c>
      <c r="G301" t="s">
        <v>3261</v>
      </c>
      <c r="H301" s="2">
        <v>5.4209609880046265E-4</v>
      </c>
    </row>
    <row r="302" spans="1:8" x14ac:dyDescent="0.3">
      <c r="A302" t="s">
        <v>2055</v>
      </c>
      <c r="B302" t="s">
        <v>2056</v>
      </c>
      <c r="C302">
        <v>24</v>
      </c>
      <c r="D302">
        <f t="shared" si="19"/>
        <v>24</v>
      </c>
      <c r="E302" t="str">
        <f t="shared" si="20"/>
        <v/>
      </c>
      <c r="F302" t="str">
        <f t="shared" si="23"/>
        <v>CHICHAROCLEMENTEJACQUES420GR(24)</v>
      </c>
      <c r="G302" t="s">
        <v>3387</v>
      </c>
      <c r="H302" s="2">
        <v>5.3860309956909041E-4</v>
      </c>
    </row>
    <row r="303" spans="1:8" x14ac:dyDescent="0.3">
      <c r="A303" t="s">
        <v>247</v>
      </c>
      <c r="B303" t="s">
        <v>248</v>
      </c>
      <c r="C303">
        <v>12</v>
      </c>
      <c r="D303">
        <f t="shared" si="19"/>
        <v>12</v>
      </c>
      <c r="E303" t="str">
        <f t="shared" si="20"/>
        <v/>
      </c>
      <c r="F303" t="str">
        <f t="shared" si="23"/>
        <v>CONCENTRADOTRAD.FRUTIVATAMARINDO1L(12</v>
      </c>
      <c r="G303" t="s">
        <v>2484</v>
      </c>
      <c r="H303" s="2">
        <v>5.3418506754138357E-4</v>
      </c>
    </row>
    <row r="304" spans="1:8" x14ac:dyDescent="0.3">
      <c r="A304" t="s">
        <v>2181</v>
      </c>
      <c r="B304" t="s">
        <v>2182</v>
      </c>
      <c r="C304">
        <v>24</v>
      </c>
      <c r="D304">
        <f t="shared" si="19"/>
        <v>24</v>
      </c>
      <c r="E304" t="str">
        <f t="shared" si="20"/>
        <v/>
      </c>
      <c r="F304" t="str">
        <f t="shared" si="23"/>
        <v>NESQUICKCHOCOLATE400GR.(24)</v>
      </c>
      <c r="G304" t="s">
        <v>3450</v>
      </c>
      <c r="H304" s="2">
        <v>5.3402059974611005E-4</v>
      </c>
    </row>
    <row r="305" spans="1:8" x14ac:dyDescent="0.3">
      <c r="A305" t="s">
        <v>721</v>
      </c>
      <c r="B305" t="s">
        <v>722</v>
      </c>
      <c r="C305">
        <v>200</v>
      </c>
      <c r="D305">
        <f t="shared" si="19"/>
        <v>200</v>
      </c>
      <c r="E305" t="str">
        <f t="shared" si="20"/>
        <v/>
      </c>
      <c r="F305" t="str">
        <f t="shared" si="23"/>
        <v>BANDERILLAPINGUINO15CM50PZ(200)</v>
      </c>
      <c r="G305" t="s">
        <v>2721</v>
      </c>
      <c r="H305" s="2">
        <v>5.3176765812387532E-4</v>
      </c>
    </row>
    <row r="306" spans="1:8" x14ac:dyDescent="0.3">
      <c r="A306" t="s">
        <v>117</v>
      </c>
      <c r="B306" t="s">
        <v>118</v>
      </c>
      <c r="C306">
        <v>12</v>
      </c>
      <c r="D306">
        <f t="shared" si="19"/>
        <v>12</v>
      </c>
      <c r="E306" t="str">
        <f t="shared" si="20"/>
        <v/>
      </c>
      <c r="F306" t="str">
        <f>SUBSTITUTE(UPPER(CLEAN(G306))," ","")</f>
        <v>-ARROZIMPEGABLEDIAMANTE750G(12)</v>
      </c>
      <c r="G306" t="s">
        <v>2419</v>
      </c>
      <c r="H306" s="2">
        <v>5.2833735184942235E-4</v>
      </c>
    </row>
    <row r="307" spans="1:8" x14ac:dyDescent="0.3">
      <c r="A307" t="s">
        <v>433</v>
      </c>
      <c r="B307" t="s">
        <v>434</v>
      </c>
      <c r="C307">
        <v>12</v>
      </c>
      <c r="D307">
        <f t="shared" si="19"/>
        <v>12</v>
      </c>
      <c r="E307" t="str">
        <f t="shared" si="20"/>
        <v/>
      </c>
      <c r="F307" t="str">
        <f t="shared" ref="F307:F325" si="24">SUBSTITUTE(UPPER(CLEAN(B307))," ","")</f>
        <v>GELATINALIMONAJI-JELLY350GR(12)</v>
      </c>
      <c r="G307" t="s">
        <v>2577</v>
      </c>
      <c r="H307" s="2">
        <v>5.1918018015195341E-4</v>
      </c>
    </row>
    <row r="308" spans="1:8" x14ac:dyDescent="0.3">
      <c r="A308" t="s">
        <v>561</v>
      </c>
      <c r="B308" t="s">
        <v>562</v>
      </c>
      <c r="C308">
        <v>1</v>
      </c>
      <c r="D308" t="str">
        <f t="shared" si="19"/>
        <v/>
      </c>
      <c r="E308" t="str">
        <f t="shared" si="20"/>
        <v/>
      </c>
      <c r="F308" t="str">
        <f t="shared" si="24"/>
        <v>PASTAFIORDIP.FIDEOM.C/20/200G*</v>
      </c>
      <c r="G308" t="s">
        <v>2641</v>
      </c>
      <c r="H308" s="2">
        <v>5.1365446322355077E-4</v>
      </c>
    </row>
    <row r="309" spans="1:8" x14ac:dyDescent="0.3">
      <c r="A309" t="s">
        <v>1947</v>
      </c>
      <c r="B309" t="s">
        <v>1948</v>
      </c>
      <c r="C309">
        <v>4</v>
      </c>
      <c r="D309">
        <f t="shared" si="19"/>
        <v>4</v>
      </c>
      <c r="E309" t="str">
        <f t="shared" si="20"/>
        <v/>
      </c>
      <c r="F309" t="str">
        <f t="shared" si="24"/>
        <v>ADEREZOBLUECHEESEHELLMANN´S3.8KG(4)</v>
      </c>
      <c r="G309" t="s">
        <v>3333</v>
      </c>
      <c r="H309" s="2">
        <v>5.1221763553426305E-4</v>
      </c>
    </row>
    <row r="310" spans="1:8" x14ac:dyDescent="0.3">
      <c r="A310" t="s">
        <v>1620</v>
      </c>
      <c r="B310" t="s">
        <v>1621</v>
      </c>
      <c r="C310">
        <v>12</v>
      </c>
      <c r="D310">
        <f t="shared" si="19"/>
        <v>12</v>
      </c>
      <c r="E310" t="str">
        <f t="shared" si="20"/>
        <v/>
      </c>
      <c r="F310" t="str">
        <f t="shared" si="24"/>
        <v>COCTELDEFRUTASCOSTEÑA850G(12)</v>
      </c>
      <c r="G310" t="s">
        <v>3170</v>
      </c>
      <c r="H310" s="2">
        <v>5.1137942847510691E-4</v>
      </c>
    </row>
    <row r="311" spans="1:8" x14ac:dyDescent="0.3">
      <c r="A311" t="s">
        <v>503</v>
      </c>
      <c r="B311" t="s">
        <v>504</v>
      </c>
      <c r="C311">
        <v>6</v>
      </c>
      <c r="D311">
        <f t="shared" si="19"/>
        <v>6</v>
      </c>
      <c r="E311" t="str">
        <f t="shared" si="20"/>
        <v/>
      </c>
      <c r="F311" t="str">
        <f t="shared" si="24"/>
        <v>LECHEDECOCOCALAHUA1L(6)</v>
      </c>
      <c r="G311" t="s">
        <v>2612</v>
      </c>
      <c r="H311" s="2">
        <v>5.1068080175396921E-4</v>
      </c>
    </row>
    <row r="312" spans="1:8" x14ac:dyDescent="0.3">
      <c r="A312" t="s">
        <v>1574</v>
      </c>
      <c r="B312" t="s">
        <v>1575</v>
      </c>
      <c r="C312">
        <v>12</v>
      </c>
      <c r="D312">
        <f t="shared" si="19"/>
        <v>12</v>
      </c>
      <c r="E312" t="str">
        <f t="shared" si="20"/>
        <v/>
      </c>
      <c r="F312" t="str">
        <f t="shared" si="24"/>
        <v>MIELKAROMAPLE510ML(12)*</v>
      </c>
      <c r="G312" t="s">
        <v>3147</v>
      </c>
      <c r="H312" s="2">
        <v>5.1031260667366309E-4</v>
      </c>
    </row>
    <row r="313" spans="1:8" x14ac:dyDescent="0.3">
      <c r="A313" t="s">
        <v>279</v>
      </c>
      <c r="B313" t="s">
        <v>280</v>
      </c>
      <c r="C313">
        <v>12</v>
      </c>
      <c r="D313">
        <f t="shared" si="19"/>
        <v>12</v>
      </c>
      <c r="E313" t="str">
        <f t="shared" si="20"/>
        <v/>
      </c>
      <c r="F313" t="str">
        <f t="shared" si="24"/>
        <v>ZUKOLIMONC/8/13G(12)</v>
      </c>
      <c r="G313" t="s">
        <v>2500</v>
      </c>
      <c r="H313" s="2">
        <v>5.0781634651102692E-4</v>
      </c>
    </row>
    <row r="314" spans="1:8" x14ac:dyDescent="0.3">
      <c r="A314" t="s">
        <v>1859</v>
      </c>
      <c r="B314" t="s">
        <v>1860</v>
      </c>
      <c r="C314">
        <v>12</v>
      </c>
      <c r="D314">
        <f t="shared" si="19"/>
        <v>12</v>
      </c>
      <c r="E314" t="str">
        <f t="shared" si="20"/>
        <v/>
      </c>
      <c r="F314" t="str">
        <f t="shared" si="24"/>
        <v>CUITLACOCHESANMIGUEL420GR(12)</v>
      </c>
      <c r="G314" t="s">
        <v>3289</v>
      </c>
      <c r="H314" s="2">
        <v>5.0779819357396584E-4</v>
      </c>
    </row>
    <row r="315" spans="1:8" x14ac:dyDescent="0.3">
      <c r="A315" t="s">
        <v>435</v>
      </c>
      <c r="B315" t="s">
        <v>436</v>
      </c>
      <c r="C315">
        <v>12</v>
      </c>
      <c r="D315">
        <f t="shared" si="19"/>
        <v>12</v>
      </c>
      <c r="E315" t="str">
        <f t="shared" si="20"/>
        <v/>
      </c>
      <c r="F315" t="str">
        <f t="shared" si="24"/>
        <v>GELATINAUVAAJI-JELLY350GR(12)</v>
      </c>
      <c r="G315" t="s">
        <v>2578</v>
      </c>
      <c r="H315" s="2">
        <v>5.0749776412128706E-4</v>
      </c>
    </row>
    <row r="316" spans="1:8" x14ac:dyDescent="0.3">
      <c r="A316" t="s">
        <v>481</v>
      </c>
      <c r="B316" t="s">
        <v>482</v>
      </c>
      <c r="C316">
        <v>12</v>
      </c>
      <c r="D316">
        <f t="shared" si="19"/>
        <v>12</v>
      </c>
      <c r="E316" t="str">
        <f t="shared" si="20"/>
        <v/>
      </c>
      <c r="F316" t="str">
        <f t="shared" si="24"/>
        <v>SUEROFRESAELECTROLIT625ML(12)</v>
      </c>
      <c r="G316" t="s">
        <v>2601</v>
      </c>
      <c r="H316" s="2">
        <v>5.0712022169088289E-4</v>
      </c>
    </row>
    <row r="317" spans="1:8" x14ac:dyDescent="0.3">
      <c r="A317" t="s">
        <v>2305</v>
      </c>
      <c r="B317" t="s">
        <v>2306</v>
      </c>
      <c r="C317">
        <v>6</v>
      </c>
      <c r="D317">
        <f t="shared" si="19"/>
        <v>6</v>
      </c>
      <c r="E317" t="str">
        <f t="shared" si="20"/>
        <v/>
      </c>
      <c r="F317" t="str">
        <f t="shared" si="24"/>
        <v>MOSTAZASTARVALUE3.7KG(6)</v>
      </c>
      <c r="G317" t="s">
        <v>3512</v>
      </c>
      <c r="H317" s="2">
        <v>5.0531922628418904E-4</v>
      </c>
    </row>
    <row r="318" spans="1:8" x14ac:dyDescent="0.3">
      <c r="A318" t="s">
        <v>1464</v>
      </c>
      <c r="B318" t="s">
        <v>1465</v>
      </c>
      <c r="C318">
        <v>6</v>
      </c>
      <c r="D318">
        <f t="shared" si="19"/>
        <v>6</v>
      </c>
      <c r="E318" t="str">
        <f t="shared" si="20"/>
        <v/>
      </c>
      <c r="F318" t="str">
        <f t="shared" si="24"/>
        <v>ELOTEENGRANOHERDEZ2.9KG(6)</v>
      </c>
      <c r="G318" t="s">
        <v>3092</v>
      </c>
      <c r="H318" s="2">
        <v>5.033587561755771E-4</v>
      </c>
    </row>
    <row r="319" spans="1:8" x14ac:dyDescent="0.3">
      <c r="A319" t="s">
        <v>1113</v>
      </c>
      <c r="B319" t="s">
        <v>1114</v>
      </c>
      <c r="C319">
        <v>12</v>
      </c>
      <c r="D319">
        <f t="shared" si="19"/>
        <v>12</v>
      </c>
      <c r="E319" t="str">
        <f t="shared" si="20"/>
        <v/>
      </c>
      <c r="F319" t="str">
        <f t="shared" si="24"/>
        <v>JUGOTOMATEJUMEX960ML(12)TETRA</v>
      </c>
      <c r="G319" t="s">
        <v>2917</v>
      </c>
      <c r="H319" s="2">
        <v>5.0111331281196391E-4</v>
      </c>
    </row>
    <row r="320" spans="1:8" x14ac:dyDescent="0.3">
      <c r="A320" t="s">
        <v>607</v>
      </c>
      <c r="B320" t="s">
        <v>608</v>
      </c>
      <c r="C320">
        <v>1</v>
      </c>
      <c r="D320" t="str">
        <f t="shared" si="19"/>
        <v/>
      </c>
      <c r="E320" t="str">
        <f t="shared" si="20"/>
        <v/>
      </c>
      <c r="F320" t="str">
        <f t="shared" si="24"/>
        <v>PUREDEPAPAVERDEVALLE2KG</v>
      </c>
      <c r="G320" t="s">
        <v>2664</v>
      </c>
      <c r="H320" s="2">
        <v>4.9986242496648356E-4</v>
      </c>
    </row>
    <row r="321" spans="1:8" x14ac:dyDescent="0.3">
      <c r="A321" t="s">
        <v>2321</v>
      </c>
      <c r="B321" t="s">
        <v>2322</v>
      </c>
      <c r="C321">
        <v>12</v>
      </c>
      <c r="D321">
        <f t="shared" si="19"/>
        <v>12</v>
      </c>
      <c r="E321" t="str">
        <f t="shared" si="20"/>
        <v/>
      </c>
      <c r="F321" t="str">
        <f t="shared" si="24"/>
        <v>SALSABOTANERAROJA1LTO(12)</v>
      </c>
      <c r="G321" t="s">
        <v>3520</v>
      </c>
      <c r="H321" s="2">
        <v>4.9696283397260212E-4</v>
      </c>
    </row>
    <row r="322" spans="1:8" x14ac:dyDescent="0.3">
      <c r="A322" t="s">
        <v>2141</v>
      </c>
      <c r="B322" t="s">
        <v>2142</v>
      </c>
      <c r="C322">
        <v>24</v>
      </c>
      <c r="D322">
        <f t="shared" ref="D322:D385" si="25">IFERROR(VALUE(IFERROR(
    MID(G322,FIND("(",G322)+1,FIND(")",G322)-FIND("(",G322)-1),
    IFERROR(
        MID(G322,FIND("(",G322)+1,LEN(G322)-FIND("(",G322)),
        ""
    )
)),"")</f>
        <v>24</v>
      </c>
      <c r="E322" t="str">
        <f t="shared" ref="E322:E385" si="26">IFERROR(VALUE(MID(SUBSTITUTE(G322," ",""),
FIND("/",SUBSTITUTE(G322," ",""))+1,
MIN(IFERROR(FIND("PZS",SUBSTITUTE(G322," ","")),999),
    IFERROR(FIND("PZA",SUBSTITUTE(G322," ","")),999))
-FIND("/",SUBSTITUTE(G322," ",""))-1)),"")</f>
        <v/>
      </c>
      <c r="F322" t="str">
        <f t="shared" si="24"/>
        <v>CREMACHAMPIÑONESCAMPBELL'S300G(24)</v>
      </c>
      <c r="G322" t="s">
        <v>3430</v>
      </c>
      <c r="H322" s="2">
        <v>4.9558451998009271E-4</v>
      </c>
    </row>
    <row r="323" spans="1:8" x14ac:dyDescent="0.3">
      <c r="A323" t="s">
        <v>431</v>
      </c>
      <c r="B323" t="s">
        <v>432</v>
      </c>
      <c r="C323">
        <v>12</v>
      </c>
      <c r="D323">
        <f t="shared" si="25"/>
        <v>12</v>
      </c>
      <c r="E323" t="str">
        <f t="shared" si="26"/>
        <v/>
      </c>
      <c r="F323" t="str">
        <f t="shared" si="24"/>
        <v>GELATINANARANJAAJI-JELLY350GR(12)</v>
      </c>
      <c r="G323" t="s">
        <v>2576</v>
      </c>
      <c r="H323" s="2">
        <v>4.9075883844980535E-4</v>
      </c>
    </row>
    <row r="324" spans="1:8" x14ac:dyDescent="0.3">
      <c r="A324" t="s">
        <v>2333</v>
      </c>
      <c r="B324" t="s">
        <v>2334</v>
      </c>
      <c r="C324">
        <v>6</v>
      </c>
      <c r="D324">
        <f t="shared" si="25"/>
        <v>6</v>
      </c>
      <c r="E324" t="str">
        <f t="shared" si="26"/>
        <v/>
      </c>
      <c r="F324" t="str">
        <f t="shared" si="24"/>
        <v>SALSAENPOLVOTAJIN907GR(6)</v>
      </c>
      <c r="G324" t="s">
        <v>3526</v>
      </c>
      <c r="H324" s="2">
        <v>4.8958626676655001E-4</v>
      </c>
    </row>
    <row r="325" spans="1:8" x14ac:dyDescent="0.3">
      <c r="A325" t="s">
        <v>367</v>
      </c>
      <c r="B325" t="s">
        <v>368</v>
      </c>
      <c r="C325">
        <v>12</v>
      </c>
      <c r="D325">
        <f t="shared" si="25"/>
        <v>12</v>
      </c>
      <c r="E325" t="str">
        <f t="shared" si="26"/>
        <v/>
      </c>
      <c r="F325" t="str">
        <f t="shared" si="24"/>
        <v>CANELAMOLIDAPRAGNA771G(12)</v>
      </c>
      <c r="G325" t="s">
        <v>2544</v>
      </c>
      <c r="H325" s="2">
        <v>4.8918539193310733E-4</v>
      </c>
    </row>
    <row r="326" spans="1:8" x14ac:dyDescent="0.3">
      <c r="A326" t="s">
        <v>105</v>
      </c>
      <c r="B326" t="s">
        <v>106</v>
      </c>
      <c r="C326">
        <v>1</v>
      </c>
      <c r="D326" t="str">
        <f t="shared" si="25"/>
        <v/>
      </c>
      <c r="E326" t="str">
        <f t="shared" si="26"/>
        <v/>
      </c>
      <c r="F326" t="str">
        <f>SUBSTITUTE(UPPER(CLEAN(G326))," ","")</f>
        <v>AGUAPURIFICADAGYMC/24/500ML.</v>
      </c>
      <c r="G326" t="s">
        <v>2413</v>
      </c>
      <c r="H326" s="2">
        <v>4.877354337692764E-4</v>
      </c>
    </row>
    <row r="327" spans="1:8" x14ac:dyDescent="0.3">
      <c r="A327" t="s">
        <v>741</v>
      </c>
      <c r="B327" t="s">
        <v>742</v>
      </c>
      <c r="C327">
        <v>10</v>
      </c>
      <c r="D327">
        <f t="shared" si="25"/>
        <v>10</v>
      </c>
      <c r="E327" t="str">
        <f t="shared" si="26"/>
        <v/>
      </c>
      <c r="F327" t="str">
        <f t="shared" ref="F327:F351" si="27">SUBSTITUTE(UPPER(CLEAN(B327))," ","")</f>
        <v>FRESHGOURMETCROUTONCOR.454G(10</v>
      </c>
      <c r="G327" t="s">
        <v>2731</v>
      </c>
      <c r="H327" s="2">
        <v>4.8606684495776999E-4</v>
      </c>
    </row>
    <row r="328" spans="1:8" x14ac:dyDescent="0.3">
      <c r="A328" t="s">
        <v>555</v>
      </c>
      <c r="B328" t="s">
        <v>556</v>
      </c>
      <c r="C328">
        <v>24</v>
      </c>
      <c r="D328">
        <f t="shared" si="25"/>
        <v>24</v>
      </c>
      <c r="E328" t="str">
        <f t="shared" si="26"/>
        <v/>
      </c>
      <c r="F328" t="str">
        <f t="shared" si="27"/>
        <v>#ACHIOTEPASTAELYUCATECO100GR(24)</v>
      </c>
      <c r="G328" t="s">
        <v>2638</v>
      </c>
      <c r="H328" s="2">
        <v>4.7729394988096615E-4</v>
      </c>
    </row>
    <row r="329" spans="1:8" x14ac:dyDescent="0.3">
      <c r="A329" t="s">
        <v>1805</v>
      </c>
      <c r="B329" t="s">
        <v>1806</v>
      </c>
      <c r="C329">
        <v>1</v>
      </c>
      <c r="D329" t="str">
        <f t="shared" si="25"/>
        <v/>
      </c>
      <c r="E329" t="str">
        <f t="shared" si="26"/>
        <v/>
      </c>
      <c r="F329" t="str">
        <f t="shared" si="27"/>
        <v>CARNEMOLIDAKNORR25K</v>
      </c>
      <c r="G329" t="s">
        <v>3262</v>
      </c>
      <c r="H329" s="2">
        <v>4.7692628405637485E-4</v>
      </c>
    </row>
    <row r="330" spans="1:8" x14ac:dyDescent="0.3">
      <c r="A330" t="s">
        <v>1640</v>
      </c>
      <c r="B330" t="s">
        <v>1641</v>
      </c>
      <c r="C330">
        <v>2</v>
      </c>
      <c r="D330">
        <f t="shared" si="25"/>
        <v>2</v>
      </c>
      <c r="E330" t="str">
        <f t="shared" si="26"/>
        <v/>
      </c>
      <c r="F330" t="str">
        <f t="shared" si="27"/>
        <v>%SALSABECHAMELKNORR4KG.(2)</v>
      </c>
      <c r="G330" t="s">
        <v>3180</v>
      </c>
      <c r="H330" s="2">
        <v>4.7570079981264235E-4</v>
      </c>
    </row>
    <row r="331" spans="1:8" x14ac:dyDescent="0.3">
      <c r="A331" t="s">
        <v>1887</v>
      </c>
      <c r="B331" t="s">
        <v>1888</v>
      </c>
      <c r="C331">
        <v>1</v>
      </c>
      <c r="D331" t="str">
        <f t="shared" si="25"/>
        <v/>
      </c>
      <c r="E331" t="str">
        <f t="shared" si="26"/>
        <v/>
      </c>
      <c r="F331" t="str">
        <f t="shared" si="27"/>
        <v>-KNORRPOLLO3.5K+KNORRPOLLO1.5KG</v>
      </c>
      <c r="G331" t="s">
        <v>3303</v>
      </c>
      <c r="H331" s="2">
        <v>4.735872391308568E-4</v>
      </c>
    </row>
    <row r="332" spans="1:8" x14ac:dyDescent="0.3">
      <c r="A332" t="s">
        <v>999</v>
      </c>
      <c r="B332" t="s">
        <v>1000</v>
      </c>
      <c r="C332">
        <v>12</v>
      </c>
      <c r="D332">
        <f t="shared" si="25"/>
        <v>12</v>
      </c>
      <c r="E332" t="str">
        <f t="shared" si="26"/>
        <v/>
      </c>
      <c r="F332" t="str">
        <f t="shared" si="27"/>
        <v>ACEITENUTRIOLI890ML(12)</v>
      </c>
      <c r="G332" t="s">
        <v>2860</v>
      </c>
      <c r="H332" s="2">
        <v>4.7355531025725632E-4</v>
      </c>
    </row>
    <row r="333" spans="1:8" x14ac:dyDescent="0.3">
      <c r="A333" t="s">
        <v>615</v>
      </c>
      <c r="B333" t="s">
        <v>616</v>
      </c>
      <c r="C333">
        <v>24</v>
      </c>
      <c r="D333">
        <f t="shared" si="25"/>
        <v>24</v>
      </c>
      <c r="E333" t="str">
        <f t="shared" si="26"/>
        <v/>
      </c>
      <c r="F333" t="str">
        <f t="shared" si="27"/>
        <v>QUESOCHEEZWHIZ235GR.(24)</v>
      </c>
      <c r="G333" t="s">
        <v>2668</v>
      </c>
      <c r="H333" s="2">
        <v>4.6992938978818779E-4</v>
      </c>
    </row>
    <row r="334" spans="1:8" x14ac:dyDescent="0.3">
      <c r="A334" t="s">
        <v>2345</v>
      </c>
      <c r="B334" t="s">
        <v>2346</v>
      </c>
      <c r="C334">
        <v>6</v>
      </c>
      <c r="D334">
        <f t="shared" si="25"/>
        <v>6</v>
      </c>
      <c r="E334" t="str">
        <f t="shared" si="26"/>
        <v/>
      </c>
      <c r="F334" t="str">
        <f t="shared" si="27"/>
        <v>ACEITUNANEGRAREBANADACARBONELL3K(6)</v>
      </c>
      <c r="G334" t="s">
        <v>3532</v>
      </c>
      <c r="H334" s="2">
        <v>4.6943987623531325E-4</v>
      </c>
    </row>
    <row r="335" spans="1:8" x14ac:dyDescent="0.3">
      <c r="A335" t="s">
        <v>1223</v>
      </c>
      <c r="B335" t="s">
        <v>1224</v>
      </c>
      <c r="C335">
        <v>12</v>
      </c>
      <c r="D335">
        <f t="shared" si="25"/>
        <v>12</v>
      </c>
      <c r="E335" t="str">
        <f t="shared" si="26"/>
        <v/>
      </c>
      <c r="F335" t="str">
        <f t="shared" si="27"/>
        <v>CREMACOFFEMATE400G(12)</v>
      </c>
      <c r="G335" t="s">
        <v>2972</v>
      </c>
      <c r="H335" s="2">
        <v>4.686075790757927E-4</v>
      </c>
    </row>
    <row r="336" spans="1:8" x14ac:dyDescent="0.3">
      <c r="A336" t="s">
        <v>1522</v>
      </c>
      <c r="B336" t="s">
        <v>1523</v>
      </c>
      <c r="C336">
        <v>36</v>
      </c>
      <c r="D336">
        <f t="shared" si="25"/>
        <v>36</v>
      </c>
      <c r="E336" t="str">
        <f t="shared" si="26"/>
        <v/>
      </c>
      <c r="F336" t="str">
        <f t="shared" si="27"/>
        <v>AVENACONCEREAL3MIN.380GBOLSA(36)</v>
      </c>
      <c r="G336" t="s">
        <v>3121</v>
      </c>
      <c r="H336" s="2">
        <v>4.6515881294946688E-4</v>
      </c>
    </row>
    <row r="337" spans="1:8" x14ac:dyDescent="0.3">
      <c r="A337" t="s">
        <v>59</v>
      </c>
      <c r="B337" t="s">
        <v>60</v>
      </c>
      <c r="C337">
        <v>1</v>
      </c>
      <c r="D337" t="str">
        <f t="shared" si="25"/>
        <v/>
      </c>
      <c r="E337" t="str">
        <f t="shared" si="26"/>
        <v/>
      </c>
      <c r="F337" t="str">
        <f t="shared" si="27"/>
        <v>PAPELHIGIENICOJRMARLIC/12/200MTS</v>
      </c>
      <c r="G337" t="s">
        <v>2390</v>
      </c>
      <c r="H337" s="2">
        <v>4.6510790766177173E-4</v>
      </c>
    </row>
    <row r="338" spans="1:8" x14ac:dyDescent="0.3">
      <c r="A338" t="s">
        <v>479</v>
      </c>
      <c r="B338" t="s">
        <v>480</v>
      </c>
      <c r="C338">
        <v>12</v>
      </c>
      <c r="D338">
        <f t="shared" si="25"/>
        <v>12</v>
      </c>
      <c r="E338" t="str">
        <f t="shared" si="26"/>
        <v/>
      </c>
      <c r="F338" t="str">
        <f t="shared" si="27"/>
        <v>SUEROCOCOELECTROLIT625ML(12)</v>
      </c>
      <c r="G338" t="s">
        <v>2600</v>
      </c>
      <c r="H338" s="2">
        <v>4.6473584016856317E-4</v>
      </c>
    </row>
    <row r="339" spans="1:8" x14ac:dyDescent="0.3">
      <c r="A339" t="s">
        <v>439</v>
      </c>
      <c r="B339" t="s">
        <v>440</v>
      </c>
      <c r="C339">
        <v>12</v>
      </c>
      <c r="D339">
        <f t="shared" si="25"/>
        <v>12</v>
      </c>
      <c r="E339" t="str">
        <f t="shared" si="26"/>
        <v/>
      </c>
      <c r="F339" t="str">
        <f t="shared" si="27"/>
        <v>GELATINAPIÑAAJI-JELLY350GR(12)</v>
      </c>
      <c r="G339" t="s">
        <v>2580</v>
      </c>
      <c r="H339" s="2">
        <v>4.6326899421382989E-4</v>
      </c>
    </row>
    <row r="340" spans="1:8" x14ac:dyDescent="0.3">
      <c r="A340" t="s">
        <v>449</v>
      </c>
      <c r="B340" t="s">
        <v>450</v>
      </c>
      <c r="C340">
        <v>10</v>
      </c>
      <c r="D340">
        <f t="shared" si="25"/>
        <v>10</v>
      </c>
      <c r="E340" t="str">
        <f t="shared" si="26"/>
        <v/>
      </c>
      <c r="F340" t="str">
        <f t="shared" si="27"/>
        <v>HARINADEMAIZPARATAMALMASECA1K(10)</v>
      </c>
      <c r="G340" t="s">
        <v>2585</v>
      </c>
      <c r="H340" s="2">
        <v>4.6253276034358213E-4</v>
      </c>
    </row>
    <row r="341" spans="1:8" x14ac:dyDescent="0.3">
      <c r="A341" t="s">
        <v>521</v>
      </c>
      <c r="B341" t="s">
        <v>522</v>
      </c>
      <c r="C341">
        <v>1</v>
      </c>
      <c r="D341" t="str">
        <f t="shared" si="25"/>
        <v/>
      </c>
      <c r="E341" t="str">
        <f t="shared" si="26"/>
        <v/>
      </c>
      <c r="F341" t="str">
        <f t="shared" si="27"/>
        <v>MANTECAVEGETALTAPATIA25K</v>
      </c>
      <c r="G341" t="s">
        <v>2621</v>
      </c>
      <c r="H341" s="2">
        <v>4.6087619104388799E-4</v>
      </c>
    </row>
    <row r="342" spans="1:8" x14ac:dyDescent="0.3">
      <c r="A342" t="s">
        <v>2177</v>
      </c>
      <c r="B342" t="s">
        <v>2178</v>
      </c>
      <c r="C342">
        <v>18</v>
      </c>
      <c r="D342">
        <f t="shared" si="25"/>
        <v>18</v>
      </c>
      <c r="E342" t="str">
        <f t="shared" si="26"/>
        <v/>
      </c>
      <c r="F342" t="str">
        <f t="shared" si="27"/>
        <v>CAFECLASICOSTICKNESCAFEC/50/2G(18)</v>
      </c>
      <c r="G342" t="s">
        <v>3448</v>
      </c>
      <c r="H342" s="2">
        <v>4.6016862763832055E-4</v>
      </c>
    </row>
    <row r="343" spans="1:8" x14ac:dyDescent="0.3">
      <c r="A343" t="s">
        <v>2013</v>
      </c>
      <c r="B343" t="s">
        <v>2014</v>
      </c>
      <c r="C343">
        <v>12</v>
      </c>
      <c r="D343">
        <f t="shared" si="25"/>
        <v>12</v>
      </c>
      <c r="E343" t="str">
        <f t="shared" si="26"/>
        <v/>
      </c>
      <c r="F343" t="str">
        <f t="shared" si="27"/>
        <v>PASTACODO4BARILLA500GR(12)</v>
      </c>
      <c r="G343" t="s">
        <v>3366</v>
      </c>
      <c r="H343" s="2">
        <v>4.5931787920256307E-4</v>
      </c>
    </row>
    <row r="344" spans="1:8" x14ac:dyDescent="0.3">
      <c r="A344" t="s">
        <v>665</v>
      </c>
      <c r="B344" t="s">
        <v>666</v>
      </c>
      <c r="C344">
        <v>24</v>
      </c>
      <c r="D344">
        <f t="shared" si="25"/>
        <v>24</v>
      </c>
      <c r="E344" t="str">
        <f t="shared" si="26"/>
        <v/>
      </c>
      <c r="F344" t="str">
        <f t="shared" si="27"/>
        <v>SALSALOLTUNHABANERAROJA150ML(24)</v>
      </c>
      <c r="G344" t="s">
        <v>2693</v>
      </c>
      <c r="H344" s="2">
        <v>4.5891903449402874E-4</v>
      </c>
    </row>
    <row r="345" spans="1:8" x14ac:dyDescent="0.3">
      <c r="A345" t="s">
        <v>369</v>
      </c>
      <c r="B345" t="s">
        <v>370</v>
      </c>
      <c r="C345">
        <v>12</v>
      </c>
      <c r="D345">
        <f t="shared" si="25"/>
        <v>12</v>
      </c>
      <c r="E345" t="str">
        <f t="shared" si="26"/>
        <v/>
      </c>
      <c r="F345" t="str">
        <f t="shared" si="27"/>
        <v>CEBOLLAENPOLVOPRAGNA724G(12)</v>
      </c>
      <c r="G345" t="s">
        <v>2545</v>
      </c>
      <c r="H345" s="2">
        <v>4.587181684939414E-4</v>
      </c>
    </row>
    <row r="346" spans="1:8" x14ac:dyDescent="0.3">
      <c r="A346" t="s">
        <v>1616</v>
      </c>
      <c r="B346" t="s">
        <v>1617</v>
      </c>
      <c r="C346">
        <v>12</v>
      </c>
      <c r="D346">
        <f t="shared" si="25"/>
        <v>12</v>
      </c>
      <c r="E346" t="str">
        <f t="shared" si="26"/>
        <v/>
      </c>
      <c r="F346" t="str">
        <f t="shared" si="27"/>
        <v>PIÑAREBANADACOSTEÑA820G(12)</v>
      </c>
      <c r="G346" t="s">
        <v>3168</v>
      </c>
      <c r="H346" s="2">
        <v>4.5777470825141746E-4</v>
      </c>
    </row>
    <row r="347" spans="1:8" x14ac:dyDescent="0.3">
      <c r="A347" t="s">
        <v>353</v>
      </c>
      <c r="B347" t="s">
        <v>354</v>
      </c>
      <c r="C347">
        <v>1</v>
      </c>
      <c r="D347" t="str">
        <f t="shared" si="25"/>
        <v/>
      </c>
      <c r="E347" t="str">
        <f t="shared" si="26"/>
        <v/>
      </c>
      <c r="F347" t="str">
        <f t="shared" si="27"/>
        <v>JARABEMAPLEMUDENASC/105/30G</v>
      </c>
      <c r="G347" t="s">
        <v>2537</v>
      </c>
      <c r="H347" s="2">
        <v>4.5743935023741819E-4</v>
      </c>
    </row>
    <row r="348" spans="1:8" x14ac:dyDescent="0.3">
      <c r="A348" t="s">
        <v>1562</v>
      </c>
      <c r="B348" t="s">
        <v>1563</v>
      </c>
      <c r="C348">
        <v>4</v>
      </c>
      <c r="D348">
        <f t="shared" si="25"/>
        <v>4</v>
      </c>
      <c r="E348" t="str">
        <f t="shared" si="26"/>
        <v/>
      </c>
      <c r="F348" t="str">
        <f t="shared" si="27"/>
        <v>ACEITECAPULLO3.7L(4)</v>
      </c>
      <c r="G348" t="s">
        <v>3141</v>
      </c>
      <c r="H348" s="2">
        <v>4.5469836512866923E-4</v>
      </c>
    </row>
    <row r="349" spans="1:8" x14ac:dyDescent="0.3">
      <c r="A349" t="s">
        <v>713</v>
      </c>
      <c r="B349" t="s">
        <v>714</v>
      </c>
      <c r="C349">
        <v>12</v>
      </c>
      <c r="D349">
        <f t="shared" si="25"/>
        <v>12</v>
      </c>
      <c r="E349" t="str">
        <f t="shared" si="26"/>
        <v/>
      </c>
      <c r="F349" t="str">
        <f t="shared" si="27"/>
        <v>VINAGREBLANCOCIERVO1LTO(12)</v>
      </c>
      <c r="G349" t="s">
        <v>2717</v>
      </c>
      <c r="H349" s="2">
        <v>4.4035258537684333E-4</v>
      </c>
    </row>
    <row r="350" spans="1:8" x14ac:dyDescent="0.3">
      <c r="A350" t="s">
        <v>2223</v>
      </c>
      <c r="B350" t="s">
        <v>2224</v>
      </c>
      <c r="C350">
        <v>4</v>
      </c>
      <c r="D350">
        <f t="shared" si="25"/>
        <v>4</v>
      </c>
      <c r="E350" t="str">
        <f t="shared" si="26"/>
        <v/>
      </c>
      <c r="F350" t="str">
        <f t="shared" si="27"/>
        <v>VINAGREMANZANAASTRA5LTS(4)</v>
      </c>
      <c r="G350" t="s">
        <v>3471</v>
      </c>
      <c r="H350" s="2">
        <v>4.3947337499492331E-4</v>
      </c>
    </row>
    <row r="351" spans="1:8" x14ac:dyDescent="0.3">
      <c r="A351" t="s">
        <v>371</v>
      </c>
      <c r="B351" t="s">
        <v>372</v>
      </c>
      <c r="C351">
        <v>12</v>
      </c>
      <c r="D351">
        <f t="shared" si="25"/>
        <v>12</v>
      </c>
      <c r="E351" t="str">
        <f t="shared" si="26"/>
        <v/>
      </c>
      <c r="F351" t="str">
        <f t="shared" si="27"/>
        <v>CHILEROJOTRITURADOPRAGNA385G(12)</v>
      </c>
      <c r="G351" t="s">
        <v>2546</v>
      </c>
      <c r="H351" s="2">
        <v>4.3775291269613023E-4</v>
      </c>
    </row>
    <row r="352" spans="1:8" x14ac:dyDescent="0.3">
      <c r="A352" t="s">
        <v>899</v>
      </c>
      <c r="B352" t="s">
        <v>900</v>
      </c>
      <c r="C352">
        <v>25</v>
      </c>
      <c r="D352">
        <f t="shared" si="25"/>
        <v>25</v>
      </c>
      <c r="E352" t="str">
        <f t="shared" si="26"/>
        <v/>
      </c>
      <c r="F352" t="str">
        <f>SUBSTITUTE(UPPER(CLEAN(G352))," ","")</f>
        <v>BOLSATRANSP.REYMA90X1.20(25)</v>
      </c>
      <c r="G352" t="s">
        <v>2810</v>
      </c>
      <c r="H352" s="2">
        <v>4.3731402578366053E-4</v>
      </c>
    </row>
    <row r="353" spans="1:8" x14ac:dyDescent="0.3">
      <c r="A353" t="s">
        <v>793</v>
      </c>
      <c r="B353" t="s">
        <v>794</v>
      </c>
      <c r="C353">
        <v>40</v>
      </c>
      <c r="D353">
        <f t="shared" si="25"/>
        <v>40</v>
      </c>
      <c r="E353" t="str">
        <f t="shared" si="26"/>
        <v/>
      </c>
      <c r="F353" t="str">
        <f t="shared" ref="F353:F369" si="28">SUBSTITUTE(UPPER(CLEAN(B353))," ","")</f>
        <v>CUCHARABLANCAMED#3GARDUÑOC/25(40)</v>
      </c>
      <c r="G353" t="s">
        <v>2757</v>
      </c>
      <c r="H353" s="2">
        <v>4.3417383891407237E-4</v>
      </c>
    </row>
    <row r="354" spans="1:8" x14ac:dyDescent="0.3">
      <c r="A354" t="s">
        <v>737</v>
      </c>
      <c r="B354" t="s">
        <v>738</v>
      </c>
      <c r="C354">
        <v>4</v>
      </c>
      <c r="D354">
        <f t="shared" si="25"/>
        <v>4</v>
      </c>
      <c r="E354" t="str">
        <f t="shared" si="26"/>
        <v/>
      </c>
      <c r="F354" t="str">
        <f t="shared" si="28"/>
        <v>HERSHEY'SLIQUIDO3.4LTS.(4)</v>
      </c>
      <c r="G354" t="s">
        <v>2729</v>
      </c>
      <c r="H354" s="2">
        <v>4.3390919718113027E-4</v>
      </c>
    </row>
    <row r="355" spans="1:8" x14ac:dyDescent="0.3">
      <c r="A355" t="s">
        <v>1013</v>
      </c>
      <c r="B355" t="s">
        <v>1014</v>
      </c>
      <c r="C355">
        <v>12</v>
      </c>
      <c r="D355">
        <f t="shared" si="25"/>
        <v>12</v>
      </c>
      <c r="E355" t="str">
        <f t="shared" si="26"/>
        <v/>
      </c>
      <c r="F355" t="str">
        <f t="shared" si="28"/>
        <v>SALSABARBECUEHUNTSORIG.620GR.(12)</v>
      </c>
      <c r="G355" t="s">
        <v>2867</v>
      </c>
      <c r="H355" s="2">
        <v>4.2413666429160141E-4</v>
      </c>
    </row>
    <row r="356" spans="1:8" x14ac:dyDescent="0.3">
      <c r="A356" t="s">
        <v>485</v>
      </c>
      <c r="B356" t="s">
        <v>486</v>
      </c>
      <c r="C356">
        <v>12</v>
      </c>
      <c r="D356">
        <f t="shared" si="25"/>
        <v>12</v>
      </c>
      <c r="E356" t="str">
        <f t="shared" si="26"/>
        <v/>
      </c>
      <c r="F356" t="str">
        <f t="shared" si="28"/>
        <v>SUEROUVAELECTROLIT625ML(12)</v>
      </c>
      <c r="G356" t="s">
        <v>2603</v>
      </c>
      <c r="H356" s="2">
        <v>4.2316154649608555E-4</v>
      </c>
    </row>
    <row r="357" spans="1:8" x14ac:dyDescent="0.3">
      <c r="A357" t="s">
        <v>241</v>
      </c>
      <c r="B357" t="s">
        <v>242</v>
      </c>
      <c r="C357">
        <v>12</v>
      </c>
      <c r="D357">
        <f t="shared" si="25"/>
        <v>12</v>
      </c>
      <c r="E357" t="str">
        <f t="shared" si="26"/>
        <v/>
      </c>
      <c r="F357" t="str">
        <f t="shared" si="28"/>
        <v>CONCENTRADOTRAD.FRUTIVALIMONADA1L(12</v>
      </c>
      <c r="G357" t="s">
        <v>2481</v>
      </c>
      <c r="H357" s="2">
        <v>4.2067234421740097E-4</v>
      </c>
    </row>
    <row r="358" spans="1:8" x14ac:dyDescent="0.3">
      <c r="A358" t="s">
        <v>749</v>
      </c>
      <c r="B358" t="s">
        <v>750</v>
      </c>
      <c r="C358">
        <v>12</v>
      </c>
      <c r="D358">
        <f t="shared" si="25"/>
        <v>12</v>
      </c>
      <c r="E358" t="str">
        <f t="shared" si="26"/>
        <v/>
      </c>
      <c r="F358" t="str">
        <f t="shared" si="28"/>
        <v>BOCADINC/50/10.5GR(12)</v>
      </c>
      <c r="G358" t="s">
        <v>2735</v>
      </c>
      <c r="H358" s="2">
        <v>4.1941040166328141E-4</v>
      </c>
    </row>
    <row r="359" spans="1:8" x14ac:dyDescent="0.3">
      <c r="A359" t="s">
        <v>223</v>
      </c>
      <c r="B359" t="s">
        <v>224</v>
      </c>
      <c r="C359">
        <v>12</v>
      </c>
      <c r="D359">
        <f t="shared" si="25"/>
        <v>12</v>
      </c>
      <c r="E359" t="str">
        <f t="shared" si="26"/>
        <v/>
      </c>
      <c r="F359" t="str">
        <f t="shared" si="28"/>
        <v>CONCENTRADOFRESAFRUTIVA1L(12)</v>
      </c>
      <c r="G359" t="s">
        <v>2472</v>
      </c>
      <c r="H359" s="2">
        <v>4.1866606846959522E-4</v>
      </c>
    </row>
    <row r="360" spans="1:8" x14ac:dyDescent="0.3">
      <c r="A360" t="s">
        <v>1093</v>
      </c>
      <c r="B360" t="s">
        <v>1094</v>
      </c>
      <c r="C360">
        <v>50</v>
      </c>
      <c r="D360">
        <f t="shared" si="25"/>
        <v>50</v>
      </c>
      <c r="E360" t="str">
        <f t="shared" si="26"/>
        <v/>
      </c>
      <c r="F360" t="str">
        <f t="shared" si="28"/>
        <v>REXAL150GR.(50)</v>
      </c>
      <c r="G360" t="s">
        <v>2907</v>
      </c>
      <c r="H360" s="2">
        <v>4.1823476096179365E-4</v>
      </c>
    </row>
    <row r="361" spans="1:8" x14ac:dyDescent="0.3">
      <c r="A361" t="s">
        <v>1749</v>
      </c>
      <c r="B361" t="s">
        <v>1750</v>
      </c>
      <c r="C361">
        <v>20</v>
      </c>
      <c r="D361">
        <f t="shared" si="25"/>
        <v>20</v>
      </c>
      <c r="E361" t="str">
        <f t="shared" si="26"/>
        <v/>
      </c>
      <c r="F361" t="str">
        <f t="shared" si="28"/>
        <v>GARBANZOVERDEVALLEBOLSA500GR.(20)</v>
      </c>
      <c r="G361" t="s">
        <v>3234</v>
      </c>
      <c r="H361" s="2">
        <v>4.1672021714024896E-4</v>
      </c>
    </row>
    <row r="362" spans="1:8" x14ac:dyDescent="0.3">
      <c r="A362" t="s">
        <v>1099</v>
      </c>
      <c r="B362" t="s">
        <v>1100</v>
      </c>
      <c r="C362">
        <v>12</v>
      </c>
      <c r="D362">
        <f t="shared" si="25"/>
        <v>12</v>
      </c>
      <c r="E362" t="str">
        <f t="shared" si="26"/>
        <v/>
      </c>
      <c r="F362" t="str">
        <f t="shared" si="28"/>
        <v>MOLEBUENO245GR.(12)</v>
      </c>
      <c r="G362" t="s">
        <v>2910</v>
      </c>
      <c r="H362" s="2">
        <v>4.1584677069968781E-4</v>
      </c>
    </row>
    <row r="363" spans="1:8" x14ac:dyDescent="0.3">
      <c r="A363" t="s">
        <v>2131</v>
      </c>
      <c r="B363" t="s">
        <v>2132</v>
      </c>
      <c r="C363">
        <v>20</v>
      </c>
      <c r="D363">
        <f t="shared" si="25"/>
        <v>20</v>
      </c>
      <c r="E363" t="str">
        <f t="shared" si="26"/>
        <v/>
      </c>
      <c r="F363" t="str">
        <f t="shared" si="28"/>
        <v>PASTAFONTANELLACODO200GR(20)</v>
      </c>
      <c r="G363" t="s">
        <v>3425</v>
      </c>
      <c r="H363" s="2">
        <v>4.1259696289301591E-4</v>
      </c>
    </row>
    <row r="364" spans="1:8" x14ac:dyDescent="0.3">
      <c r="A364" t="s">
        <v>239</v>
      </c>
      <c r="B364" t="s">
        <v>240</v>
      </c>
      <c r="C364">
        <v>12</v>
      </c>
      <c r="D364">
        <f t="shared" si="25"/>
        <v>12</v>
      </c>
      <c r="E364" t="str">
        <f t="shared" si="26"/>
        <v/>
      </c>
      <c r="F364" t="str">
        <f t="shared" si="28"/>
        <v>CONCENTRADOMELONFRUTIVA1L(12)</v>
      </c>
      <c r="G364" t="s">
        <v>2480</v>
      </c>
      <c r="H364" s="2">
        <v>4.0854561965321737E-4</v>
      </c>
    </row>
    <row r="365" spans="1:8" x14ac:dyDescent="0.3">
      <c r="A365" t="s">
        <v>1071</v>
      </c>
      <c r="B365" t="s">
        <v>1072</v>
      </c>
      <c r="C365">
        <v>24</v>
      </c>
      <c r="D365">
        <f t="shared" si="25"/>
        <v>24</v>
      </c>
      <c r="E365" t="str">
        <f t="shared" si="26"/>
        <v/>
      </c>
      <c r="F365" t="str">
        <f t="shared" si="28"/>
        <v>GARBANZOALFRESCO425GR(24)</v>
      </c>
      <c r="G365" t="s">
        <v>2896</v>
      </c>
      <c r="H365" s="2">
        <v>4.0481265639726505E-4</v>
      </c>
    </row>
    <row r="366" spans="1:8" x14ac:dyDescent="0.3">
      <c r="A366" t="s">
        <v>2291</v>
      </c>
      <c r="B366" t="s">
        <v>2292</v>
      </c>
      <c r="C366">
        <v>6</v>
      </c>
      <c r="D366">
        <f t="shared" si="25"/>
        <v>6</v>
      </c>
      <c r="E366" t="str">
        <f t="shared" si="26"/>
        <v/>
      </c>
      <c r="F366" t="str">
        <f t="shared" si="28"/>
        <v>ADEREZOMAYONESASTARVALUE3.52K(6)</v>
      </c>
      <c r="G366" t="s">
        <v>3505</v>
      </c>
      <c r="H366" s="2">
        <v>4.0462471283739569E-4</v>
      </c>
    </row>
    <row r="367" spans="1:8" x14ac:dyDescent="0.3">
      <c r="A367" t="s">
        <v>483</v>
      </c>
      <c r="B367" t="s">
        <v>484</v>
      </c>
      <c r="C367">
        <v>12</v>
      </c>
      <c r="D367">
        <f t="shared" si="25"/>
        <v>12</v>
      </c>
      <c r="E367" t="str">
        <f t="shared" si="26"/>
        <v/>
      </c>
      <c r="F367" t="str">
        <f t="shared" si="28"/>
        <v>SUEROMANZANAELECTROLIT625ML(12)</v>
      </c>
      <c r="G367" t="s">
        <v>2602</v>
      </c>
      <c r="H367" s="2">
        <v>4.0456053419508009E-4</v>
      </c>
    </row>
    <row r="368" spans="1:8" x14ac:dyDescent="0.3">
      <c r="A368" t="s">
        <v>1091</v>
      </c>
      <c r="B368" t="s">
        <v>1092</v>
      </c>
      <c r="C368">
        <v>12</v>
      </c>
      <c r="D368">
        <f t="shared" si="25"/>
        <v>12</v>
      </c>
      <c r="E368" t="str">
        <f t="shared" si="26"/>
        <v/>
      </c>
      <c r="F368" t="str">
        <f t="shared" si="28"/>
        <v>JUGONARANJAC/PULPAUNICOFRESCO960(12)</v>
      </c>
      <c r="G368" t="s">
        <v>2906</v>
      </c>
      <c r="H368" s="2">
        <v>4.0251584093111992E-4</v>
      </c>
    </row>
    <row r="369" spans="1:8" x14ac:dyDescent="0.3">
      <c r="A369" t="s">
        <v>2295</v>
      </c>
      <c r="B369" t="s">
        <v>2296</v>
      </c>
      <c r="C369">
        <v>6</v>
      </c>
      <c r="D369">
        <f t="shared" si="25"/>
        <v>6</v>
      </c>
      <c r="E369" t="str">
        <f t="shared" si="26"/>
        <v/>
      </c>
      <c r="F369" t="str">
        <f t="shared" si="28"/>
        <v>SALSACATSUPSTARVALUE3.72K(6)</v>
      </c>
      <c r="G369" t="s">
        <v>3507</v>
      </c>
      <c r="H369" s="2">
        <v>3.9989511336123098E-4</v>
      </c>
    </row>
    <row r="370" spans="1:8" x14ac:dyDescent="0.3">
      <c r="A370" t="s">
        <v>857</v>
      </c>
      <c r="B370" t="s">
        <v>858</v>
      </c>
      <c r="C370">
        <v>72</v>
      </c>
      <c r="D370">
        <f t="shared" si="25"/>
        <v>72</v>
      </c>
      <c r="E370" t="str">
        <f t="shared" si="26"/>
        <v/>
      </c>
      <c r="F370" t="str">
        <f>SUBSTITUTE(UPPER(CLEAN(G370))," ","")</f>
        <v>FIBRAESPONJAP94SCOTCHBRITE(72)</v>
      </c>
      <c r="G370" t="s">
        <v>2789</v>
      </c>
      <c r="H370" s="2">
        <v>3.9598988761186234E-4</v>
      </c>
    </row>
    <row r="371" spans="1:8" x14ac:dyDescent="0.3">
      <c r="A371" t="s">
        <v>85</v>
      </c>
      <c r="B371" t="s">
        <v>86</v>
      </c>
      <c r="C371">
        <v>12</v>
      </c>
      <c r="D371">
        <f t="shared" si="25"/>
        <v>12</v>
      </c>
      <c r="E371" t="str">
        <f t="shared" si="26"/>
        <v/>
      </c>
      <c r="F371" t="str">
        <f t="shared" ref="F371:F382" si="29">SUBSTITUTE(UPPER(CLEAN(B371))," ","")</f>
        <v>ACEITEOLIVAE.VINES1L(12)</v>
      </c>
      <c r="G371" t="s">
        <v>2403</v>
      </c>
      <c r="H371" s="2">
        <v>3.9525160261199259E-4</v>
      </c>
    </row>
    <row r="372" spans="1:8" x14ac:dyDescent="0.3">
      <c r="A372" t="s">
        <v>2249</v>
      </c>
      <c r="B372" t="s">
        <v>2250</v>
      </c>
      <c r="C372">
        <v>12</v>
      </c>
      <c r="D372">
        <f t="shared" si="25"/>
        <v>12</v>
      </c>
      <c r="E372" t="str">
        <f t="shared" si="26"/>
        <v/>
      </c>
      <c r="F372" t="str">
        <f t="shared" si="29"/>
        <v>#FABULOSOMARFRESCO1LTO*(12</v>
      </c>
      <c r="G372" t="s">
        <v>3484</v>
      </c>
      <c r="H372" s="2">
        <v>3.922623188813632E-4</v>
      </c>
    </row>
    <row r="373" spans="1:8" x14ac:dyDescent="0.3">
      <c r="A373" t="s">
        <v>2199</v>
      </c>
      <c r="B373" t="s">
        <v>2200</v>
      </c>
      <c r="C373">
        <v>1</v>
      </c>
      <c r="D373" t="str">
        <f t="shared" si="25"/>
        <v/>
      </c>
      <c r="E373" t="str">
        <f t="shared" si="26"/>
        <v/>
      </c>
      <c r="F373" t="str">
        <f t="shared" si="29"/>
        <v>SERVILLETAINTERDOBLADAPETALO24/250H</v>
      </c>
      <c r="G373" t="s">
        <v>3459</v>
      </c>
      <c r="H373" s="2">
        <v>3.8823217532617374E-4</v>
      </c>
    </row>
    <row r="374" spans="1:8" x14ac:dyDescent="0.3">
      <c r="A374" t="s">
        <v>1023</v>
      </c>
      <c r="B374" t="s">
        <v>1024</v>
      </c>
      <c r="C374">
        <v>24</v>
      </c>
      <c r="D374">
        <f t="shared" si="25"/>
        <v>24</v>
      </c>
      <c r="E374" t="str">
        <f t="shared" si="26"/>
        <v/>
      </c>
      <c r="F374" t="str">
        <f t="shared" si="29"/>
        <v>CHICHAROC/ZANAHORIADELMONTE215GR(24)</v>
      </c>
      <c r="G374" t="s">
        <v>2872</v>
      </c>
      <c r="H374" s="2">
        <v>3.872514709788318E-4</v>
      </c>
    </row>
    <row r="375" spans="1:8" x14ac:dyDescent="0.3">
      <c r="A375" t="s">
        <v>1532</v>
      </c>
      <c r="B375" t="s">
        <v>1533</v>
      </c>
      <c r="C375">
        <v>12</v>
      </c>
      <c r="D375">
        <f t="shared" si="25"/>
        <v>12</v>
      </c>
      <c r="E375" t="str">
        <f t="shared" si="26"/>
        <v/>
      </c>
      <c r="F375" t="str">
        <f t="shared" si="29"/>
        <v>-GALLETASSALADAS504GRC/42(12)</v>
      </c>
      <c r="G375" t="s">
        <v>3126</v>
      </c>
      <c r="H375" s="2">
        <v>3.8572067747724291E-4</v>
      </c>
    </row>
    <row r="376" spans="1:8" x14ac:dyDescent="0.3">
      <c r="A376" t="s">
        <v>1177</v>
      </c>
      <c r="B376" t="s">
        <v>1178</v>
      </c>
      <c r="C376">
        <v>24</v>
      </c>
      <c r="D376">
        <f t="shared" si="25"/>
        <v>24</v>
      </c>
      <c r="E376" t="str">
        <f t="shared" si="26"/>
        <v/>
      </c>
      <c r="F376" t="str">
        <f t="shared" si="29"/>
        <v>JUGO8VERDURASHERDEZ330ML(24)</v>
      </c>
      <c r="G376" t="s">
        <v>2949</v>
      </c>
      <c r="H376" s="2">
        <v>3.8496387683803783E-4</v>
      </c>
    </row>
    <row r="377" spans="1:8" x14ac:dyDescent="0.3">
      <c r="A377" t="s">
        <v>519</v>
      </c>
      <c r="B377" t="s">
        <v>520</v>
      </c>
      <c r="C377">
        <v>12</v>
      </c>
      <c r="D377">
        <f t="shared" si="25"/>
        <v>12</v>
      </c>
      <c r="E377" t="str">
        <f t="shared" si="26"/>
        <v/>
      </c>
      <c r="F377" t="str">
        <f t="shared" si="29"/>
        <v>FORMULALACTEAUHTMASNUTRE1L(12)</v>
      </c>
      <c r="G377" t="s">
        <v>2620</v>
      </c>
      <c r="H377" s="2">
        <v>3.8487250417999059E-4</v>
      </c>
    </row>
    <row r="378" spans="1:8" x14ac:dyDescent="0.3">
      <c r="A378" t="s">
        <v>1015</v>
      </c>
      <c r="B378" t="s">
        <v>1016</v>
      </c>
      <c r="C378">
        <v>24</v>
      </c>
      <c r="D378">
        <f t="shared" si="25"/>
        <v>24</v>
      </c>
      <c r="E378" t="str">
        <f t="shared" si="26"/>
        <v/>
      </c>
      <c r="F378" t="str">
        <f t="shared" si="29"/>
        <v>SALSACATSUPDELMONTE320G(24)</v>
      </c>
      <c r="G378" t="s">
        <v>2868</v>
      </c>
      <c r="H378" s="2">
        <v>3.8413969870543246E-4</v>
      </c>
    </row>
    <row r="379" spans="1:8" x14ac:dyDescent="0.3">
      <c r="A379" t="s">
        <v>545</v>
      </c>
      <c r="B379" t="s">
        <v>546</v>
      </c>
      <c r="C379">
        <v>1</v>
      </c>
      <c r="D379" t="str">
        <f t="shared" si="25"/>
        <v/>
      </c>
      <c r="E379" t="str">
        <f t="shared" si="26"/>
        <v/>
      </c>
      <c r="F379" t="str">
        <f t="shared" si="29"/>
        <v>MIELDEABEJAMUDENASC/140/20GR</v>
      </c>
      <c r="G379" t="s">
        <v>2633</v>
      </c>
      <c r="H379" s="2">
        <v>3.7868625164143483E-4</v>
      </c>
    </row>
    <row r="380" spans="1:8" x14ac:dyDescent="0.3">
      <c r="A380" t="s">
        <v>1354</v>
      </c>
      <c r="B380" t="s">
        <v>1355</v>
      </c>
      <c r="C380">
        <v>12</v>
      </c>
      <c r="D380" t="str">
        <f t="shared" si="25"/>
        <v/>
      </c>
      <c r="E380" t="str">
        <f t="shared" si="26"/>
        <v/>
      </c>
      <c r="F380" t="str">
        <f t="shared" si="29"/>
        <v>HARINAP/PASTELCHOC.DEVILBETTYC.375GR</v>
      </c>
      <c r="G380" t="s">
        <v>3037</v>
      </c>
      <c r="H380" s="2">
        <v>3.7831703570977718E-4</v>
      </c>
    </row>
    <row r="381" spans="1:8" x14ac:dyDescent="0.3">
      <c r="A381" t="s">
        <v>1925</v>
      </c>
      <c r="B381" t="s">
        <v>1926</v>
      </c>
      <c r="C381">
        <v>24</v>
      </c>
      <c r="D381">
        <f t="shared" si="25"/>
        <v>24</v>
      </c>
      <c r="E381" t="str">
        <f t="shared" si="26"/>
        <v/>
      </c>
      <c r="F381" t="str">
        <f t="shared" si="29"/>
        <v>KNORRSUIZA100G(24)</v>
      </c>
      <c r="G381" t="s">
        <v>3322</v>
      </c>
      <c r="H381" s="2">
        <v>3.7660369795712714E-4</v>
      </c>
    </row>
    <row r="382" spans="1:8" x14ac:dyDescent="0.3">
      <c r="A382" t="s">
        <v>1191</v>
      </c>
      <c r="B382" t="s">
        <v>1192</v>
      </c>
      <c r="C382">
        <v>10</v>
      </c>
      <c r="D382">
        <f t="shared" si="25"/>
        <v>10</v>
      </c>
      <c r="E382" t="str">
        <f t="shared" si="26"/>
        <v/>
      </c>
      <c r="F382" t="str">
        <f t="shared" si="29"/>
        <v>GELATINAAGUADURAZNOD'GARI720G(10)</v>
      </c>
      <c r="G382" t="s">
        <v>2956</v>
      </c>
      <c r="H382" s="2">
        <v>3.7656236893213603E-4</v>
      </c>
    </row>
    <row r="383" spans="1:8" x14ac:dyDescent="0.3">
      <c r="A383" t="s">
        <v>923</v>
      </c>
      <c r="B383" t="s">
        <v>924</v>
      </c>
      <c r="C383">
        <v>12</v>
      </c>
      <c r="D383">
        <f t="shared" si="25"/>
        <v>12</v>
      </c>
      <c r="E383" t="str">
        <f t="shared" si="26"/>
        <v/>
      </c>
      <c r="F383" t="str">
        <f>SUBSTITUTE(UPPER(CLEAN(G383))," ","")</f>
        <v>SERVILLETAMAXC/450HOJAS(12)</v>
      </c>
      <c r="G383" t="s">
        <v>2822</v>
      </c>
      <c r="H383" s="2">
        <v>3.7632874506790694E-4</v>
      </c>
    </row>
    <row r="384" spans="1:8" x14ac:dyDescent="0.3">
      <c r="A384" t="s">
        <v>2175</v>
      </c>
      <c r="B384" t="s">
        <v>2176</v>
      </c>
      <c r="C384">
        <v>18</v>
      </c>
      <c r="D384">
        <f t="shared" si="25"/>
        <v>18</v>
      </c>
      <c r="E384" t="str">
        <f t="shared" si="26"/>
        <v/>
      </c>
      <c r="F384" t="str">
        <f>SUBSTITUTE(UPPER(CLEAN(B384))," ","")</f>
        <v>CAFEDECAFSTICKC/50/2G(18)EXHIBI</v>
      </c>
      <c r="G384" t="s">
        <v>3447</v>
      </c>
      <c r="H384" s="2">
        <v>3.7502021953059883E-4</v>
      </c>
    </row>
    <row r="385" spans="1:8" x14ac:dyDescent="0.3">
      <c r="A385" t="s">
        <v>767</v>
      </c>
      <c r="B385" t="s">
        <v>768</v>
      </c>
      <c r="C385">
        <v>1</v>
      </c>
      <c r="D385" t="str">
        <f t="shared" si="25"/>
        <v/>
      </c>
      <c r="E385">
        <f t="shared" si="26"/>
        <v>200</v>
      </c>
      <c r="F385" t="str">
        <f>SUBSTITUTE(UPPER(CLEAN(B385))," ","")</f>
        <v>CONTENEDOR8X8DIVISIONLEONC/200PZA</v>
      </c>
      <c r="G385" t="s">
        <v>2744</v>
      </c>
      <c r="H385" s="2">
        <v>3.7196774080512868E-4</v>
      </c>
    </row>
    <row r="386" spans="1:8" x14ac:dyDescent="0.3">
      <c r="A386" t="s">
        <v>863</v>
      </c>
      <c r="B386" t="s">
        <v>864</v>
      </c>
      <c r="C386">
        <v>50</v>
      </c>
      <c r="D386">
        <f t="shared" ref="D386:D449" si="30">IFERROR(VALUE(IFERROR(
    MID(G386,FIND("(",G386)+1,FIND(")",G386)-FIND("(",G386)-1),
    IFERROR(
        MID(G386,FIND("(",G386)+1,LEN(G386)-FIND("(",G386)),
        ""
    )
)),"")</f>
        <v>50</v>
      </c>
      <c r="E386" t="str">
        <f t="shared" ref="E386:E449" si="31">IFERROR(VALUE(MID(SUBSTITUTE(G386," ",""),
FIND("/",SUBSTITUTE(G386," ",""))+1,
MIN(IFERROR(FIND("PZS",SUBSTITUTE(G386," ","")),999),
    IFERROR(FIND("PZA",SUBSTITUTE(G386," ","")),999))
-FIND("/",SUBSTITUTE(G386," ",""))-1)),"")</f>
        <v/>
      </c>
      <c r="F386" t="str">
        <f>SUBSTITUTE(UPPER(CLEAN(G386))," ","")</f>
        <v>MALLAMETALICAPLUSBRITEJUMBO(50)</v>
      </c>
      <c r="G386" t="s">
        <v>2792</v>
      </c>
      <c r="H386" s="2">
        <v>3.7059702379541298E-4</v>
      </c>
    </row>
    <row r="387" spans="1:8" x14ac:dyDescent="0.3">
      <c r="A387" t="s">
        <v>1518</v>
      </c>
      <c r="B387" t="s">
        <v>1519</v>
      </c>
      <c r="C387">
        <v>1</v>
      </c>
      <c r="D387" t="str">
        <f t="shared" si="30"/>
        <v/>
      </c>
      <c r="E387" t="str">
        <f t="shared" si="31"/>
        <v/>
      </c>
      <c r="F387" t="str">
        <f t="shared" ref="F387:F418" si="32">SUBSTITUTE(UPPER(CLEAN(B387))," ","")</f>
        <v>GALLETASSALADASTRESESTRELLAS200/12G</v>
      </c>
      <c r="G387" t="s">
        <v>3119</v>
      </c>
      <c r="H387" s="2">
        <v>3.6989093008492303E-4</v>
      </c>
    </row>
    <row r="388" spans="1:8" x14ac:dyDescent="0.3">
      <c r="A388" t="s">
        <v>1454</v>
      </c>
      <c r="B388" t="s">
        <v>1455</v>
      </c>
      <c r="C388">
        <v>6</v>
      </c>
      <c r="D388">
        <f t="shared" si="30"/>
        <v>6</v>
      </c>
      <c r="E388" t="str">
        <f t="shared" si="31"/>
        <v/>
      </c>
      <c r="F388" t="str">
        <f t="shared" si="32"/>
        <v>DURAZNOMITADCOSTEÑA3K(6)</v>
      </c>
      <c r="G388" t="s">
        <v>3087</v>
      </c>
      <c r="H388" s="2">
        <v>3.6506130994984175E-4</v>
      </c>
    </row>
    <row r="389" spans="1:8" x14ac:dyDescent="0.3">
      <c r="A389" t="s">
        <v>413</v>
      </c>
      <c r="B389" t="s">
        <v>414</v>
      </c>
      <c r="C389">
        <v>5</v>
      </c>
      <c r="D389">
        <f t="shared" si="30"/>
        <v>5</v>
      </c>
      <c r="E389" t="str">
        <f t="shared" si="31"/>
        <v/>
      </c>
      <c r="F389" t="str">
        <f t="shared" si="32"/>
        <v>-GALLEOREOMOLIDAPRAGNA1KGBOL(5)</v>
      </c>
      <c r="G389" t="s">
        <v>2567</v>
      </c>
      <c r="H389" s="2">
        <v>3.619209073595549E-4</v>
      </c>
    </row>
    <row r="390" spans="1:8" x14ac:dyDescent="0.3">
      <c r="A390" t="s">
        <v>1490</v>
      </c>
      <c r="B390" t="s">
        <v>1491</v>
      </c>
      <c r="C390">
        <v>12</v>
      </c>
      <c r="D390">
        <f t="shared" si="30"/>
        <v>12</v>
      </c>
      <c r="E390" t="str">
        <f t="shared" si="31"/>
        <v/>
      </c>
      <c r="F390" t="str">
        <f t="shared" si="32"/>
        <v>ACEITEOLIVACARBONELL500ML(12)VIDRIO</v>
      </c>
      <c r="G390" t="s">
        <v>3105</v>
      </c>
      <c r="H390" s="2">
        <v>3.5972798314786217E-4</v>
      </c>
    </row>
    <row r="391" spans="1:8" x14ac:dyDescent="0.3">
      <c r="A391" t="s">
        <v>2307</v>
      </c>
      <c r="B391" t="s">
        <v>2308</v>
      </c>
      <c r="C391">
        <v>12</v>
      </c>
      <c r="D391">
        <f t="shared" si="30"/>
        <v>12</v>
      </c>
      <c r="E391" t="str">
        <f t="shared" si="31"/>
        <v/>
      </c>
      <c r="F391" t="str">
        <f t="shared" si="32"/>
        <v>SALSACHAMOYMEGA1LTO(12)</v>
      </c>
      <c r="G391" t="s">
        <v>3513</v>
      </c>
      <c r="H391" s="2">
        <v>3.5941273058435124E-4</v>
      </c>
    </row>
    <row r="392" spans="1:8" x14ac:dyDescent="0.3">
      <c r="A392" t="s">
        <v>361</v>
      </c>
      <c r="B392" t="s">
        <v>362</v>
      </c>
      <c r="C392">
        <v>12</v>
      </c>
      <c r="D392">
        <f t="shared" si="30"/>
        <v>12</v>
      </c>
      <c r="E392" t="str">
        <f t="shared" si="31"/>
        <v/>
      </c>
      <c r="F392" t="str">
        <f t="shared" si="32"/>
        <v>VAINILLACIERVO1L(12)</v>
      </c>
      <c r="G392" t="s">
        <v>2541</v>
      </c>
      <c r="H392" s="2">
        <v>3.5846602030068539E-4</v>
      </c>
    </row>
    <row r="393" spans="1:8" x14ac:dyDescent="0.3">
      <c r="A393" t="s">
        <v>1761</v>
      </c>
      <c r="B393" t="s">
        <v>1762</v>
      </c>
      <c r="C393">
        <v>6</v>
      </c>
      <c r="D393">
        <f t="shared" si="30"/>
        <v>6</v>
      </c>
      <c r="E393" t="str">
        <f t="shared" si="31"/>
        <v/>
      </c>
      <c r="F393" t="str">
        <f t="shared" si="32"/>
        <v>PAPRIKAPIMENTONMC510G(6)</v>
      </c>
      <c r="G393" t="s">
        <v>3240</v>
      </c>
      <c r="H393" s="2">
        <v>3.5619898374406733E-4</v>
      </c>
    </row>
    <row r="394" spans="1:8" x14ac:dyDescent="0.3">
      <c r="A394" t="s">
        <v>1827</v>
      </c>
      <c r="B394" t="s">
        <v>1828</v>
      </c>
      <c r="C394">
        <v>12</v>
      </c>
      <c r="D394">
        <f t="shared" si="30"/>
        <v>12</v>
      </c>
      <c r="E394" t="str">
        <f t="shared" si="31"/>
        <v/>
      </c>
      <c r="F394" t="str">
        <f t="shared" si="32"/>
        <v>CHILEPIMIENTOMORRONSANMIGUEL420G(12</v>
      </c>
      <c r="G394" t="s">
        <v>3273</v>
      </c>
      <c r="H394" s="2">
        <v>3.5562081225835467E-4</v>
      </c>
    </row>
    <row r="395" spans="1:8" x14ac:dyDescent="0.3">
      <c r="A395" t="s">
        <v>1153</v>
      </c>
      <c r="B395" t="s">
        <v>1154</v>
      </c>
      <c r="C395">
        <v>50</v>
      </c>
      <c r="D395">
        <f t="shared" si="30"/>
        <v>50</v>
      </c>
      <c r="E395" t="str">
        <f t="shared" si="31"/>
        <v/>
      </c>
      <c r="F395" t="str">
        <f t="shared" si="32"/>
        <v>CEREALZUCARITASKELLOGG´S30G(50)</v>
      </c>
      <c r="G395" t="s">
        <v>2937</v>
      </c>
      <c r="H395" s="2">
        <v>3.5317886472481953E-4</v>
      </c>
    </row>
    <row r="396" spans="1:8" x14ac:dyDescent="0.3">
      <c r="A396" t="s">
        <v>1358</v>
      </c>
      <c r="B396" t="s">
        <v>1359</v>
      </c>
      <c r="C396">
        <v>12</v>
      </c>
      <c r="D396" t="str">
        <f t="shared" si="30"/>
        <v/>
      </c>
      <c r="E396" t="str">
        <f t="shared" si="31"/>
        <v/>
      </c>
      <c r="F396" t="str">
        <f t="shared" si="32"/>
        <v>HARINAP/PASTELVAINILLAFRAN.BETTY375G</v>
      </c>
      <c r="G396" t="s">
        <v>3039</v>
      </c>
      <c r="H396" s="2">
        <v>3.5201386502291732E-4</v>
      </c>
    </row>
    <row r="397" spans="1:8" x14ac:dyDescent="0.3">
      <c r="A397" t="s">
        <v>1009</v>
      </c>
      <c r="B397" t="s">
        <v>1010</v>
      </c>
      <c r="C397">
        <v>24</v>
      </c>
      <c r="D397">
        <f t="shared" si="30"/>
        <v>24</v>
      </c>
      <c r="E397" t="str">
        <f t="shared" si="31"/>
        <v/>
      </c>
      <c r="F397" t="str">
        <f t="shared" si="32"/>
        <v>SALSAHUNT'S4QUESOTETRA360*(24)</v>
      </c>
      <c r="G397" t="s">
        <v>2865</v>
      </c>
      <c r="H397" s="2">
        <v>3.5005921418232173E-4</v>
      </c>
    </row>
    <row r="398" spans="1:8" x14ac:dyDescent="0.3">
      <c r="A398" t="s">
        <v>307</v>
      </c>
      <c r="B398" t="s">
        <v>308</v>
      </c>
      <c r="C398">
        <v>10</v>
      </c>
      <c r="D398">
        <f t="shared" si="30"/>
        <v>10</v>
      </c>
      <c r="E398" t="str">
        <f t="shared" si="31"/>
        <v/>
      </c>
      <c r="F398" t="str">
        <f t="shared" si="32"/>
        <v>CALDOCAMARONAJI-SAZON1K(10)</v>
      </c>
      <c r="G398" t="s">
        <v>2514</v>
      </c>
      <c r="H398" s="2">
        <v>3.4862085583925055E-4</v>
      </c>
    </row>
    <row r="399" spans="1:8" x14ac:dyDescent="0.3">
      <c r="A399" t="s">
        <v>79</v>
      </c>
      <c r="B399" t="s">
        <v>80</v>
      </c>
      <c r="C399">
        <v>12</v>
      </c>
      <c r="D399">
        <f t="shared" si="30"/>
        <v>12</v>
      </c>
      <c r="E399" t="str">
        <f t="shared" si="31"/>
        <v/>
      </c>
      <c r="F399" t="str">
        <f t="shared" si="32"/>
        <v>ACEITECOCOORGANICOCALAHUA342ML(12)</v>
      </c>
      <c r="G399" t="s">
        <v>2400</v>
      </c>
      <c r="H399" s="2">
        <v>3.4793887815698122E-4</v>
      </c>
    </row>
    <row r="400" spans="1:8" x14ac:dyDescent="0.3">
      <c r="A400" t="s">
        <v>2205</v>
      </c>
      <c r="B400" t="s">
        <v>2206</v>
      </c>
      <c r="C400">
        <v>1</v>
      </c>
      <c r="D400" t="str">
        <f t="shared" si="30"/>
        <v/>
      </c>
      <c r="E400" t="str">
        <f t="shared" si="31"/>
        <v/>
      </c>
      <c r="F400" t="str">
        <f t="shared" si="32"/>
        <v>TOALLAENROLLOMARLI6/180MTSBLANCA</v>
      </c>
      <c r="G400" t="s">
        <v>3462</v>
      </c>
      <c r="H400" s="2">
        <v>3.4631905227868988E-4</v>
      </c>
    </row>
    <row r="401" spans="1:8" x14ac:dyDescent="0.3">
      <c r="A401" t="s">
        <v>1117</v>
      </c>
      <c r="B401" t="s">
        <v>1118</v>
      </c>
      <c r="C401">
        <v>12</v>
      </c>
      <c r="D401">
        <f t="shared" si="30"/>
        <v>6</v>
      </c>
      <c r="E401" t="str">
        <f t="shared" si="31"/>
        <v/>
      </c>
      <c r="F401" t="str">
        <f t="shared" si="32"/>
        <v>NECTARMANGOJUMEX0AZUCAR960ML(6)</v>
      </c>
      <c r="G401" t="s">
        <v>2919</v>
      </c>
      <c r="H401" s="2">
        <v>3.4412382618669333E-4</v>
      </c>
    </row>
    <row r="402" spans="1:8" x14ac:dyDescent="0.3">
      <c r="A402" t="s">
        <v>1953</v>
      </c>
      <c r="B402" t="s">
        <v>1954</v>
      </c>
      <c r="C402">
        <v>1</v>
      </c>
      <c r="D402" t="str">
        <f t="shared" si="30"/>
        <v/>
      </c>
      <c r="E402" t="str">
        <f t="shared" si="31"/>
        <v/>
      </c>
      <c r="F402" t="str">
        <f t="shared" si="32"/>
        <v>%KNORRSUIZA13KCUBETA</v>
      </c>
      <c r="G402" t="s">
        <v>3336</v>
      </c>
      <c r="H402" s="2">
        <v>3.4153179251456022E-4</v>
      </c>
    </row>
    <row r="403" spans="1:8" x14ac:dyDescent="0.3">
      <c r="A403" t="s">
        <v>1598</v>
      </c>
      <c r="B403" t="s">
        <v>1599</v>
      </c>
      <c r="C403">
        <v>24</v>
      </c>
      <c r="D403">
        <f t="shared" si="30"/>
        <v>24</v>
      </c>
      <c r="E403" t="str">
        <f t="shared" si="31"/>
        <v/>
      </c>
      <c r="F403" t="str">
        <f t="shared" si="32"/>
        <v>FRIJOLESPERUANOSREFRITISADORA430G(24</v>
      </c>
      <c r="G403" t="s">
        <v>3159</v>
      </c>
      <c r="H403" s="2">
        <v>3.4023145632591816E-4</v>
      </c>
    </row>
    <row r="404" spans="1:8" x14ac:dyDescent="0.3">
      <c r="A404" t="s">
        <v>333</v>
      </c>
      <c r="B404" t="s">
        <v>334</v>
      </c>
      <c r="C404">
        <v>10</v>
      </c>
      <c r="D404">
        <f t="shared" si="30"/>
        <v>10</v>
      </c>
      <c r="E404" t="str">
        <f t="shared" si="31"/>
        <v/>
      </c>
      <c r="F404" t="str">
        <f t="shared" si="32"/>
        <v>-AZUCARMORENAAVANCE906G(10)</v>
      </c>
      <c r="G404" t="s">
        <v>2527</v>
      </c>
      <c r="H404" s="2">
        <v>3.3896153625857561E-4</v>
      </c>
    </row>
    <row r="405" spans="1:8" x14ac:dyDescent="0.3">
      <c r="A405" t="s">
        <v>707</v>
      </c>
      <c r="B405" t="s">
        <v>708</v>
      </c>
      <c r="C405">
        <v>6</v>
      </c>
      <c r="D405">
        <f t="shared" si="30"/>
        <v>6</v>
      </c>
      <c r="E405" t="str">
        <f t="shared" si="31"/>
        <v/>
      </c>
      <c r="F405" t="str">
        <f t="shared" si="32"/>
        <v>MAIZPOZOLEROELMEXICANO3KG(6)</v>
      </c>
      <c r="G405" t="s">
        <v>2714</v>
      </c>
      <c r="H405" s="2">
        <v>3.3394267594880669E-4</v>
      </c>
    </row>
    <row r="406" spans="1:8" x14ac:dyDescent="0.3">
      <c r="A406" t="s">
        <v>1797</v>
      </c>
      <c r="B406" t="s">
        <v>1798</v>
      </c>
      <c r="C406">
        <v>48</v>
      </c>
      <c r="D406">
        <f t="shared" si="30"/>
        <v>48</v>
      </c>
      <c r="E406" t="str">
        <f t="shared" si="31"/>
        <v/>
      </c>
      <c r="F406" t="str">
        <f t="shared" si="32"/>
        <v>CHILEJALAPEÑOCOSTEÑA220G(48)</v>
      </c>
      <c r="G406" t="s">
        <v>3258</v>
      </c>
      <c r="H406" s="2">
        <v>3.3230004341879596E-4</v>
      </c>
    </row>
    <row r="407" spans="1:8" x14ac:dyDescent="0.3">
      <c r="A407" t="s">
        <v>77</v>
      </c>
      <c r="B407" t="s">
        <v>78</v>
      </c>
      <c r="C407">
        <v>12</v>
      </c>
      <c r="D407">
        <f t="shared" si="30"/>
        <v>12</v>
      </c>
      <c r="E407" t="str">
        <f t="shared" si="31"/>
        <v/>
      </c>
      <c r="F407" t="str">
        <f t="shared" si="32"/>
        <v>ACEITECANOIL946ML(12)</v>
      </c>
      <c r="G407" t="s">
        <v>2399</v>
      </c>
      <c r="H407" s="2">
        <v>3.3096990041957914E-4</v>
      </c>
    </row>
    <row r="408" spans="1:8" x14ac:dyDescent="0.3">
      <c r="A408" t="s">
        <v>2053</v>
      </c>
      <c r="B408" t="s">
        <v>2054</v>
      </c>
      <c r="C408">
        <v>20</v>
      </c>
      <c r="D408">
        <f t="shared" si="30"/>
        <v>20</v>
      </c>
      <c r="E408" t="str">
        <f t="shared" si="31"/>
        <v/>
      </c>
      <c r="F408" t="str">
        <f t="shared" si="32"/>
        <v>PASTAFONTANELLASPAGHETTI200GR(20)</v>
      </c>
      <c r="G408" t="s">
        <v>3386</v>
      </c>
      <c r="H408" s="2">
        <v>3.2514293828076103E-4</v>
      </c>
    </row>
    <row r="409" spans="1:8" x14ac:dyDescent="0.3">
      <c r="A409" t="s">
        <v>1526</v>
      </c>
      <c r="B409" t="s">
        <v>1527</v>
      </c>
      <c r="C409">
        <v>1</v>
      </c>
      <c r="D409" t="str">
        <f t="shared" si="30"/>
        <v/>
      </c>
      <c r="E409" t="str">
        <f t="shared" si="31"/>
        <v/>
      </c>
      <c r="F409" t="str">
        <f t="shared" si="32"/>
        <v>GALLETASMARIASGAMESA20/177G</v>
      </c>
      <c r="G409" t="s">
        <v>3123</v>
      </c>
      <c r="H409" s="2">
        <v>3.2181515122902928E-4</v>
      </c>
    </row>
    <row r="410" spans="1:8" x14ac:dyDescent="0.3">
      <c r="A410" t="s">
        <v>251</v>
      </c>
      <c r="B410" t="s">
        <v>252</v>
      </c>
      <c r="C410">
        <v>12</v>
      </c>
      <c r="D410">
        <f t="shared" si="30"/>
        <v>12</v>
      </c>
      <c r="E410" t="str">
        <f t="shared" si="31"/>
        <v/>
      </c>
      <c r="F410" t="str">
        <f t="shared" si="32"/>
        <v>CONCENTRADOTRADFRUTIVAFRESA1L(12)</v>
      </c>
      <c r="G410" t="s">
        <v>2486</v>
      </c>
      <c r="H410" s="2">
        <v>3.1769878538951806E-4</v>
      </c>
    </row>
    <row r="411" spans="1:8" x14ac:dyDescent="0.3">
      <c r="A411" t="s">
        <v>1137</v>
      </c>
      <c r="B411" t="s">
        <v>1138</v>
      </c>
      <c r="C411">
        <v>20</v>
      </c>
      <c r="D411">
        <f t="shared" si="30"/>
        <v>20</v>
      </c>
      <c r="E411" t="str">
        <f t="shared" si="31"/>
        <v/>
      </c>
      <c r="F411" t="str">
        <f t="shared" si="32"/>
        <v>CEREALALLBRANKELLOGG´SORIGIN775G(20</v>
      </c>
      <c r="G411" t="s">
        <v>2929</v>
      </c>
      <c r="H411" s="2">
        <v>3.1657992217976982E-4</v>
      </c>
    </row>
    <row r="412" spans="1:8" x14ac:dyDescent="0.3">
      <c r="A412" t="s">
        <v>2243</v>
      </c>
      <c r="B412" t="s">
        <v>2244</v>
      </c>
      <c r="C412">
        <v>12</v>
      </c>
      <c r="D412">
        <f t="shared" si="30"/>
        <v>12</v>
      </c>
      <c r="E412" t="str">
        <f t="shared" si="31"/>
        <v/>
      </c>
      <c r="F412" t="str">
        <f t="shared" si="32"/>
        <v>FABULOSOLAVANDA1L(12)</v>
      </c>
      <c r="G412" t="s">
        <v>3481</v>
      </c>
      <c r="H412" s="2">
        <v>3.1619063979675371E-4</v>
      </c>
    </row>
    <row r="413" spans="1:8" x14ac:dyDescent="0.3">
      <c r="A413" t="s">
        <v>687</v>
      </c>
      <c r="B413" t="s">
        <v>688</v>
      </c>
      <c r="C413">
        <v>10</v>
      </c>
      <c r="D413">
        <f t="shared" si="30"/>
        <v>10</v>
      </c>
      <c r="E413" t="str">
        <f t="shared" si="31"/>
        <v/>
      </c>
      <c r="F413" t="str">
        <f t="shared" si="32"/>
        <v>-SOYATEXTURIZADA1KG(10)</v>
      </c>
      <c r="G413" t="s">
        <v>2704</v>
      </c>
      <c r="H413" s="2">
        <v>3.1555518470935244E-4</v>
      </c>
    </row>
    <row r="414" spans="1:8" x14ac:dyDescent="0.3">
      <c r="A414" t="s">
        <v>531</v>
      </c>
      <c r="B414" t="s">
        <v>532</v>
      </c>
      <c r="C414">
        <v>1</v>
      </c>
      <c r="D414" t="str">
        <f t="shared" si="30"/>
        <v/>
      </c>
      <c r="E414" t="str">
        <f t="shared" si="31"/>
        <v/>
      </c>
      <c r="F414" t="str">
        <f t="shared" si="32"/>
        <v>MERMELADAFRESAMUDENASC/140/20G</v>
      </c>
      <c r="G414" t="s">
        <v>2626</v>
      </c>
      <c r="H414" s="2">
        <v>3.1373501843637742E-4</v>
      </c>
    </row>
    <row r="415" spans="1:8" x14ac:dyDescent="0.3">
      <c r="A415" t="s">
        <v>1329</v>
      </c>
      <c r="B415" t="s">
        <v>1330</v>
      </c>
      <c r="C415">
        <v>1</v>
      </c>
      <c r="D415" t="str">
        <f t="shared" si="30"/>
        <v/>
      </c>
      <c r="E415" t="str">
        <f t="shared" si="31"/>
        <v/>
      </c>
      <c r="F415" t="str">
        <f t="shared" si="32"/>
        <v>CAJETAREALPOTOSI5KTINA</v>
      </c>
      <c r="G415" t="s">
        <v>3025</v>
      </c>
      <c r="H415" s="2">
        <v>3.1262211980415339E-4</v>
      </c>
    </row>
    <row r="416" spans="1:8" x14ac:dyDescent="0.3">
      <c r="A416" t="s">
        <v>1847</v>
      </c>
      <c r="B416" t="s">
        <v>1848</v>
      </c>
      <c r="C416">
        <v>12</v>
      </c>
      <c r="D416">
        <f t="shared" si="30"/>
        <v>12</v>
      </c>
      <c r="E416" t="str">
        <f t="shared" si="31"/>
        <v/>
      </c>
      <c r="F416" t="str">
        <f t="shared" si="32"/>
        <v>PALMITOENTEROS.MIGUEL800G(12)</v>
      </c>
      <c r="G416" t="s">
        <v>3283</v>
      </c>
      <c r="H416" s="2">
        <v>3.1150173578551644E-4</v>
      </c>
    </row>
    <row r="417" spans="1:8" x14ac:dyDescent="0.3">
      <c r="A417" t="s">
        <v>1606</v>
      </c>
      <c r="B417" t="s">
        <v>1607</v>
      </c>
      <c r="C417">
        <v>6</v>
      </c>
      <c r="D417">
        <f t="shared" si="30"/>
        <v>6</v>
      </c>
      <c r="E417" t="str">
        <f t="shared" si="31"/>
        <v/>
      </c>
      <c r="F417" t="str">
        <f t="shared" si="32"/>
        <v>VINAGREVINOTINTOCARBONELL250ML(6)</v>
      </c>
      <c r="G417" t="s">
        <v>3163</v>
      </c>
      <c r="H417" s="2">
        <v>3.0670481682979606E-4</v>
      </c>
    </row>
    <row r="418" spans="1:8" x14ac:dyDescent="0.3">
      <c r="A418" t="s">
        <v>1366</v>
      </c>
      <c r="B418" t="s">
        <v>1367</v>
      </c>
      <c r="C418">
        <v>12</v>
      </c>
      <c r="D418">
        <f t="shared" si="30"/>
        <v>12</v>
      </c>
      <c r="E418" t="str">
        <f t="shared" si="31"/>
        <v/>
      </c>
      <c r="F418" t="str">
        <f t="shared" si="32"/>
        <v>AD.MAYCONCHIPOTLEMC310G(12)</v>
      </c>
      <c r="G418" t="s">
        <v>3043</v>
      </c>
      <c r="H418" s="2">
        <v>3.0651593017461533E-4</v>
      </c>
    </row>
    <row r="419" spans="1:8" x14ac:dyDescent="0.3">
      <c r="A419" t="s">
        <v>1644</v>
      </c>
      <c r="B419" t="s">
        <v>1645</v>
      </c>
      <c r="C419">
        <v>24</v>
      </c>
      <c r="D419">
        <f t="shared" si="30"/>
        <v>24</v>
      </c>
      <c r="E419" t="str">
        <f t="shared" si="31"/>
        <v/>
      </c>
      <c r="F419" t="str">
        <f t="shared" ref="F419:F449" si="33">SUBSTITUTE(UPPER(CLEAN(B419))," ","")</f>
        <v>MOSTAZAMC210GR.(24)</v>
      </c>
      <c r="G419" t="s">
        <v>3182</v>
      </c>
      <c r="H419" s="2">
        <v>3.0558501555655868E-4</v>
      </c>
    </row>
    <row r="420" spans="1:8" x14ac:dyDescent="0.3">
      <c r="A420" t="s">
        <v>1386</v>
      </c>
      <c r="B420" t="s">
        <v>1387</v>
      </c>
      <c r="C420">
        <v>12</v>
      </c>
      <c r="D420">
        <f t="shared" si="30"/>
        <v>12</v>
      </c>
      <c r="E420" t="str">
        <f t="shared" si="31"/>
        <v/>
      </c>
      <c r="F420" t="str">
        <f t="shared" si="33"/>
        <v>COCTELTOMATE/ALMEJAKERMATO950ML(12)</v>
      </c>
      <c r="G420" t="s">
        <v>3053</v>
      </c>
      <c r="H420" s="2">
        <v>3.0514717970417182E-4</v>
      </c>
    </row>
    <row r="421" spans="1:8" x14ac:dyDescent="0.3">
      <c r="A421" t="s">
        <v>1145</v>
      </c>
      <c r="B421" t="s">
        <v>1146</v>
      </c>
      <c r="C421">
        <v>50</v>
      </c>
      <c r="D421">
        <f t="shared" si="30"/>
        <v>50</v>
      </c>
      <c r="E421" t="str">
        <f t="shared" si="31"/>
        <v/>
      </c>
      <c r="F421" t="str">
        <f t="shared" si="33"/>
        <v>CEREALCORNFLAKESKELLOGG´S25G(50)</v>
      </c>
      <c r="G421" t="s">
        <v>2933</v>
      </c>
      <c r="H421" s="2">
        <v>3.0422916676951139E-4</v>
      </c>
    </row>
    <row r="422" spans="1:8" x14ac:dyDescent="0.3">
      <c r="A422" t="s">
        <v>329</v>
      </c>
      <c r="B422" t="s">
        <v>330</v>
      </c>
      <c r="C422">
        <v>2</v>
      </c>
      <c r="D422">
        <f t="shared" si="30"/>
        <v>2</v>
      </c>
      <c r="E422" t="str">
        <f t="shared" si="31"/>
        <v/>
      </c>
      <c r="F422" t="str">
        <f t="shared" si="33"/>
        <v>-CREMAAVELLANAS/CACAONUTELLA3KG(2)</v>
      </c>
      <c r="G422" t="s">
        <v>2525</v>
      </c>
      <c r="H422" s="2">
        <v>3.028567182088844E-4</v>
      </c>
    </row>
    <row r="423" spans="1:8" x14ac:dyDescent="0.3">
      <c r="A423" t="s">
        <v>97</v>
      </c>
      <c r="B423" t="s">
        <v>98</v>
      </c>
      <c r="C423">
        <v>1</v>
      </c>
      <c r="D423" t="str">
        <f t="shared" si="30"/>
        <v/>
      </c>
      <c r="E423" t="str">
        <f t="shared" si="31"/>
        <v/>
      </c>
      <c r="F423" t="str">
        <f t="shared" si="33"/>
        <v>-ACEITEKINGFRYBIDON20LTS</v>
      </c>
      <c r="G423" t="s">
        <v>2409</v>
      </c>
      <c r="H423" s="2">
        <v>2.9986808212483152E-4</v>
      </c>
    </row>
    <row r="424" spans="1:8" x14ac:dyDescent="0.3">
      <c r="A424" t="s">
        <v>1227</v>
      </c>
      <c r="B424" t="s">
        <v>1228</v>
      </c>
      <c r="C424">
        <v>12</v>
      </c>
      <c r="D424">
        <f t="shared" si="30"/>
        <v>12</v>
      </c>
      <c r="E424" t="str">
        <f t="shared" si="31"/>
        <v/>
      </c>
      <c r="F424" t="str">
        <f t="shared" si="33"/>
        <v>CAFECLASICONESCAFE120G(12)</v>
      </c>
      <c r="G424" t="s">
        <v>2974</v>
      </c>
      <c r="H424" s="2">
        <v>2.9970160228801263E-4</v>
      </c>
    </row>
    <row r="425" spans="1:8" x14ac:dyDescent="0.3">
      <c r="A425" t="s">
        <v>1239</v>
      </c>
      <c r="B425" t="s">
        <v>1240</v>
      </c>
      <c r="C425">
        <v>12</v>
      </c>
      <c r="D425">
        <f t="shared" si="30"/>
        <v>12</v>
      </c>
      <c r="E425" t="str">
        <f t="shared" si="31"/>
        <v/>
      </c>
      <c r="F425" t="str">
        <f t="shared" si="33"/>
        <v>-LECHENANNO.1320G(12)</v>
      </c>
      <c r="G425" t="s">
        <v>2980</v>
      </c>
      <c r="H425" s="2">
        <v>2.9957057902383754E-4</v>
      </c>
    </row>
    <row r="426" spans="1:8" x14ac:dyDescent="0.3">
      <c r="A426" t="s">
        <v>2129</v>
      </c>
      <c r="B426" t="s">
        <v>2130</v>
      </c>
      <c r="C426">
        <v>12</v>
      </c>
      <c r="D426">
        <f t="shared" si="30"/>
        <v>12</v>
      </c>
      <c r="E426" t="str">
        <f t="shared" si="31"/>
        <v/>
      </c>
      <c r="F426" t="str">
        <f t="shared" si="33"/>
        <v>PIÑAREBANADADIANA800G(12)</v>
      </c>
      <c r="G426" t="s">
        <v>3424</v>
      </c>
      <c r="H426" s="2">
        <v>2.9760199467470706E-4</v>
      </c>
    </row>
    <row r="427" spans="1:8" x14ac:dyDescent="0.3">
      <c r="A427" t="s">
        <v>2323</v>
      </c>
      <c r="B427" t="s">
        <v>2324</v>
      </c>
      <c r="C427">
        <v>24</v>
      </c>
      <c r="D427">
        <f t="shared" si="30"/>
        <v>24</v>
      </c>
      <c r="E427" t="str">
        <f t="shared" si="31"/>
        <v/>
      </c>
      <c r="F427" t="str">
        <f t="shared" si="33"/>
        <v>SALSABOTANERAROJA500ML(24)</v>
      </c>
      <c r="G427" t="s">
        <v>3521</v>
      </c>
      <c r="H427" s="2">
        <v>2.962079150576606E-4</v>
      </c>
    </row>
    <row r="428" spans="1:8" x14ac:dyDescent="0.3">
      <c r="A428" t="s">
        <v>203</v>
      </c>
      <c r="B428" t="s">
        <v>204</v>
      </c>
      <c r="C428">
        <v>6</v>
      </c>
      <c r="D428">
        <f t="shared" si="30"/>
        <v>6</v>
      </c>
      <c r="E428" t="str">
        <f t="shared" si="31"/>
        <v/>
      </c>
      <c r="F428" t="str">
        <f t="shared" si="33"/>
        <v>CHILERAJASELMEXICANO2.8K(6)</v>
      </c>
      <c r="G428" t="s">
        <v>2462</v>
      </c>
      <c r="H428" s="2">
        <v>2.9503909306925139E-4</v>
      </c>
    </row>
    <row r="429" spans="1:8" x14ac:dyDescent="0.3">
      <c r="A429" t="s">
        <v>1025</v>
      </c>
      <c r="B429" t="s">
        <v>1026</v>
      </c>
      <c r="C429">
        <v>24</v>
      </c>
      <c r="D429">
        <f t="shared" si="30"/>
        <v>24</v>
      </c>
      <c r="E429" t="str">
        <f t="shared" si="31"/>
        <v/>
      </c>
      <c r="F429" t="str">
        <f t="shared" si="33"/>
        <v>CHICHAROC/ZANAHORIADELMONTE410GR(24)</v>
      </c>
      <c r="G429" t="s">
        <v>2873</v>
      </c>
      <c r="H429" s="2">
        <v>2.9436579904148949E-4</v>
      </c>
    </row>
    <row r="430" spans="1:8" x14ac:dyDescent="0.3">
      <c r="A430" t="s">
        <v>1097</v>
      </c>
      <c r="B430" t="s">
        <v>1098</v>
      </c>
      <c r="D430">
        <f t="shared" si="30"/>
        <v>12</v>
      </c>
      <c r="E430" t="str">
        <f t="shared" si="31"/>
        <v/>
      </c>
      <c r="F430" t="str">
        <f t="shared" si="33"/>
        <v>JUGOARANDANOUNICOFRESCO960(12)</v>
      </c>
      <c r="G430" t="s">
        <v>2909</v>
      </c>
      <c r="H430" s="2">
        <v>2.942676417375925E-4</v>
      </c>
    </row>
    <row r="431" spans="1:8" x14ac:dyDescent="0.3">
      <c r="A431" t="s">
        <v>2075</v>
      </c>
      <c r="B431" t="s">
        <v>2076</v>
      </c>
      <c r="C431">
        <v>40</v>
      </c>
      <c r="D431">
        <f t="shared" si="30"/>
        <v>40</v>
      </c>
      <c r="E431" t="str">
        <f t="shared" si="31"/>
        <v/>
      </c>
      <c r="F431" t="str">
        <f t="shared" si="33"/>
        <v>GELATINAPIÑAJELLOLIGHT25G(40)SOBRE</v>
      </c>
      <c r="G431" t="s">
        <v>3397</v>
      </c>
      <c r="H431" s="2">
        <v>2.9320854527282861E-4</v>
      </c>
    </row>
    <row r="432" spans="1:8" x14ac:dyDescent="0.3">
      <c r="A432" t="s">
        <v>383</v>
      </c>
      <c r="B432" t="s">
        <v>384</v>
      </c>
      <c r="C432">
        <v>12</v>
      </c>
      <c r="D432">
        <f t="shared" si="30"/>
        <v>12</v>
      </c>
      <c r="E432" t="str">
        <f t="shared" si="31"/>
        <v/>
      </c>
      <c r="F432" t="str">
        <f t="shared" si="33"/>
        <v>PIMIENTANEGRAMOLIDAPRAGNA530G(12)</v>
      </c>
      <c r="G432" t="s">
        <v>2552</v>
      </c>
      <c r="H432" s="2">
        <v>2.9203732771451951E-4</v>
      </c>
    </row>
    <row r="433" spans="1:8" x14ac:dyDescent="0.3">
      <c r="A433" t="s">
        <v>1989</v>
      </c>
      <c r="B433" t="s">
        <v>1990</v>
      </c>
      <c r="C433">
        <v>144</v>
      </c>
      <c r="D433">
        <f t="shared" si="30"/>
        <v>144</v>
      </c>
      <c r="E433" t="str">
        <f t="shared" si="31"/>
        <v/>
      </c>
      <c r="F433" t="str">
        <f t="shared" si="33"/>
        <v>MAIZENASABORVAINILLA47GR(144)</v>
      </c>
      <c r="G433" t="s">
        <v>3354</v>
      </c>
      <c r="H433" s="2">
        <v>2.9055451106177466E-4</v>
      </c>
    </row>
    <row r="434" spans="1:8" x14ac:dyDescent="0.3">
      <c r="A434" t="s">
        <v>249</v>
      </c>
      <c r="B434" t="s">
        <v>250</v>
      </c>
      <c r="C434">
        <v>12</v>
      </c>
      <c r="D434">
        <f t="shared" si="30"/>
        <v>12</v>
      </c>
      <c r="E434" t="str">
        <f t="shared" si="31"/>
        <v/>
      </c>
      <c r="F434" t="str">
        <f t="shared" si="33"/>
        <v>CONCENTRADOTRADFRUTIVAGUAYABA1L(12)</v>
      </c>
      <c r="G434" t="s">
        <v>2485</v>
      </c>
      <c r="H434" s="2">
        <v>2.8885845334384967E-4</v>
      </c>
    </row>
    <row r="435" spans="1:8" x14ac:dyDescent="0.3">
      <c r="A435" t="s">
        <v>1283</v>
      </c>
      <c r="B435" t="s">
        <v>1284</v>
      </c>
      <c r="C435">
        <v>4</v>
      </c>
      <c r="D435">
        <f t="shared" si="30"/>
        <v>4</v>
      </c>
      <c r="E435" t="str">
        <f t="shared" si="31"/>
        <v/>
      </c>
      <c r="F435" t="str">
        <f t="shared" si="33"/>
        <v>-MEZCLADORMICHEMAGGI1.9LTS(4)</v>
      </c>
      <c r="G435" t="s">
        <v>3002</v>
      </c>
      <c r="H435" s="2">
        <v>2.8842387192815343E-4</v>
      </c>
    </row>
    <row r="436" spans="1:8" x14ac:dyDescent="0.3">
      <c r="A436" t="s">
        <v>549</v>
      </c>
      <c r="B436" t="s">
        <v>550</v>
      </c>
      <c r="C436">
        <v>24</v>
      </c>
      <c r="D436">
        <f t="shared" si="30"/>
        <v>24</v>
      </c>
      <c r="E436" t="str">
        <f t="shared" si="31"/>
        <v/>
      </c>
      <c r="F436" t="str">
        <f t="shared" si="33"/>
        <v>MOLEGALA265GR(24)</v>
      </c>
      <c r="G436" t="s">
        <v>2635</v>
      </c>
      <c r="H436" s="2">
        <v>2.8444022607560204E-4</v>
      </c>
    </row>
    <row r="437" spans="1:8" x14ac:dyDescent="0.3">
      <c r="A437" t="s">
        <v>989</v>
      </c>
      <c r="B437" t="s">
        <v>990</v>
      </c>
      <c r="C437">
        <v>6</v>
      </c>
      <c r="D437">
        <f t="shared" si="30"/>
        <v>6</v>
      </c>
      <c r="E437" t="str">
        <f t="shared" si="31"/>
        <v/>
      </c>
      <c r="F437" t="str">
        <f t="shared" si="33"/>
        <v>CLORALEX3.75LTSFAMILIAR(6)</v>
      </c>
      <c r="G437" t="s">
        <v>2855</v>
      </c>
      <c r="H437" s="2">
        <v>2.8396679440962524E-4</v>
      </c>
    </row>
    <row r="438" spans="1:8" x14ac:dyDescent="0.3">
      <c r="A438" t="s">
        <v>2079</v>
      </c>
      <c r="B438" t="s">
        <v>2080</v>
      </c>
      <c r="C438">
        <v>40</v>
      </c>
      <c r="D438" t="str">
        <f t="shared" si="30"/>
        <v/>
      </c>
      <c r="E438" t="str">
        <f t="shared" si="31"/>
        <v/>
      </c>
      <c r="F438" t="str">
        <f t="shared" si="33"/>
        <v>GELATINADURAZNOJELLOLIGHT25G(40SOBR</v>
      </c>
      <c r="G438" t="s">
        <v>3399</v>
      </c>
      <c r="H438" s="2">
        <v>2.8155083537822383E-4</v>
      </c>
    </row>
    <row r="439" spans="1:8" x14ac:dyDescent="0.3">
      <c r="A439" t="s">
        <v>671</v>
      </c>
      <c r="B439" t="s">
        <v>672</v>
      </c>
      <c r="C439">
        <v>24</v>
      </c>
      <c r="D439">
        <f t="shared" si="30"/>
        <v>24</v>
      </c>
      <c r="E439" t="str">
        <f t="shared" si="31"/>
        <v/>
      </c>
      <c r="F439" t="str">
        <f t="shared" si="33"/>
        <v>SALSAHUICHOLNEGRA190ML(24)</v>
      </c>
      <c r="G439" t="s">
        <v>2696</v>
      </c>
      <c r="H439" s="2">
        <v>2.8148463401355767E-4</v>
      </c>
    </row>
    <row r="440" spans="1:8" x14ac:dyDescent="0.3">
      <c r="A440" t="s">
        <v>667</v>
      </c>
      <c r="B440" t="s">
        <v>668</v>
      </c>
      <c r="C440">
        <v>24</v>
      </c>
      <c r="D440">
        <f t="shared" si="30"/>
        <v>24</v>
      </c>
      <c r="E440" t="str">
        <f t="shared" si="31"/>
        <v/>
      </c>
      <c r="F440" t="str">
        <f t="shared" si="33"/>
        <v>SALSAHUICHOLPICANTE190ML(24)</v>
      </c>
      <c r="G440" t="s">
        <v>2694</v>
      </c>
      <c r="H440" s="2">
        <v>2.7981459769265717E-4</v>
      </c>
    </row>
    <row r="441" spans="1:8" x14ac:dyDescent="0.3">
      <c r="A441" t="s">
        <v>1039</v>
      </c>
      <c r="B441" t="s">
        <v>1040</v>
      </c>
      <c r="C441">
        <v>12</v>
      </c>
      <c r="D441">
        <f t="shared" si="30"/>
        <v>12</v>
      </c>
      <c r="E441" t="str">
        <f t="shared" si="31"/>
        <v/>
      </c>
      <c r="F441" t="str">
        <f t="shared" si="33"/>
        <v>SALSASOYAKIKOMAN296ML(12)</v>
      </c>
      <c r="G441" t="s">
        <v>2880</v>
      </c>
      <c r="H441" s="2">
        <v>2.7909394324712115E-4</v>
      </c>
    </row>
    <row r="442" spans="1:8" x14ac:dyDescent="0.3">
      <c r="A442" t="s">
        <v>1281</v>
      </c>
      <c r="B442" t="s">
        <v>1282</v>
      </c>
      <c r="C442">
        <v>16</v>
      </c>
      <c r="D442">
        <f t="shared" si="30"/>
        <v>16</v>
      </c>
      <c r="E442" t="str">
        <f t="shared" si="31"/>
        <v/>
      </c>
      <c r="F442" t="str">
        <f t="shared" si="33"/>
        <v>#SALSAKETCHUPHEINZ397G14OZ(16)</v>
      </c>
      <c r="G442" t="s">
        <v>3001</v>
      </c>
      <c r="H442" s="2">
        <v>2.7884236489959438E-4</v>
      </c>
    </row>
    <row r="443" spans="1:8" x14ac:dyDescent="0.3">
      <c r="A443" t="s">
        <v>1835</v>
      </c>
      <c r="B443" t="s">
        <v>1836</v>
      </c>
      <c r="C443">
        <v>6</v>
      </c>
      <c r="D443">
        <f t="shared" si="30"/>
        <v>6</v>
      </c>
      <c r="E443" t="str">
        <f t="shared" si="31"/>
        <v/>
      </c>
      <c r="F443" t="str">
        <f t="shared" si="33"/>
        <v>ALCACHOFACORAZONSANMIGUEL2.500(6)</v>
      </c>
      <c r="G443" t="s">
        <v>3277</v>
      </c>
      <c r="H443" s="2">
        <v>2.7876435151389577E-4</v>
      </c>
    </row>
    <row r="444" spans="1:8" x14ac:dyDescent="0.3">
      <c r="A444" t="s">
        <v>1061</v>
      </c>
      <c r="B444" t="s">
        <v>1062</v>
      </c>
      <c r="C444">
        <v>24</v>
      </c>
      <c r="D444">
        <f t="shared" si="30"/>
        <v>24</v>
      </c>
      <c r="E444" t="str">
        <f t="shared" si="31"/>
        <v/>
      </c>
      <c r="F444" t="str">
        <f t="shared" si="33"/>
        <v>COCTELTOMATE/ALMEJACLAMATO296ML(24)</v>
      </c>
      <c r="G444" t="s">
        <v>2891</v>
      </c>
      <c r="H444" s="2">
        <v>2.775322641360605E-4</v>
      </c>
    </row>
    <row r="445" spans="1:8" x14ac:dyDescent="0.3">
      <c r="A445" t="s">
        <v>2087</v>
      </c>
      <c r="B445" t="s">
        <v>2088</v>
      </c>
      <c r="C445">
        <v>40</v>
      </c>
      <c r="D445">
        <f t="shared" si="30"/>
        <v>40</v>
      </c>
      <c r="E445" t="str">
        <f t="shared" si="31"/>
        <v/>
      </c>
      <c r="F445" t="str">
        <f t="shared" si="33"/>
        <v>GELATINALIMONJELLO25G(40)</v>
      </c>
      <c r="G445" t="s">
        <v>3403</v>
      </c>
      <c r="H445" s="2">
        <v>2.7746377513790485E-4</v>
      </c>
    </row>
    <row r="446" spans="1:8" x14ac:dyDescent="0.3">
      <c r="A446" t="s">
        <v>1801</v>
      </c>
      <c r="B446" t="s">
        <v>1802</v>
      </c>
      <c r="C446">
        <v>6</v>
      </c>
      <c r="D446">
        <f t="shared" si="30"/>
        <v>6</v>
      </c>
      <c r="E446" t="str">
        <f t="shared" si="31"/>
        <v/>
      </c>
      <c r="F446" t="str">
        <f t="shared" si="33"/>
        <v>ACEITUNADESHUESADACORINA900G(6)</v>
      </c>
      <c r="G446" t="s">
        <v>3260</v>
      </c>
      <c r="H446" s="2">
        <v>2.7665097750424934E-4</v>
      </c>
    </row>
    <row r="447" spans="1:8" x14ac:dyDescent="0.3">
      <c r="A447" t="s">
        <v>1083</v>
      </c>
      <c r="B447" t="s">
        <v>1084</v>
      </c>
      <c r="C447">
        <v>1</v>
      </c>
      <c r="D447" t="str">
        <f t="shared" si="30"/>
        <v/>
      </c>
      <c r="E447" t="str">
        <f t="shared" si="31"/>
        <v/>
      </c>
      <c r="F447" t="str">
        <f t="shared" si="33"/>
        <v>MOLEBUENOROJO4KG*TINA*</v>
      </c>
      <c r="G447" t="s">
        <v>2902</v>
      </c>
      <c r="H447" s="2">
        <v>2.7563547218853435E-4</v>
      </c>
    </row>
    <row r="448" spans="1:8" x14ac:dyDescent="0.3">
      <c r="A448" t="s">
        <v>225</v>
      </c>
      <c r="B448" t="s">
        <v>226</v>
      </c>
      <c r="C448">
        <v>12</v>
      </c>
      <c r="D448">
        <f t="shared" si="30"/>
        <v>12</v>
      </c>
      <c r="E448" t="str">
        <f t="shared" si="31"/>
        <v/>
      </c>
      <c r="F448" t="str">
        <f t="shared" si="33"/>
        <v>CONCENTRADOGUAYABAFRUTIVA1L(12)</v>
      </c>
      <c r="G448" t="s">
        <v>2473</v>
      </c>
      <c r="H448" s="2">
        <v>2.7519390327253844E-4</v>
      </c>
    </row>
    <row r="449" spans="1:8" x14ac:dyDescent="0.3">
      <c r="A449" t="s">
        <v>591</v>
      </c>
      <c r="B449" t="s">
        <v>592</v>
      </c>
      <c r="C449">
        <v>20</v>
      </c>
      <c r="D449">
        <f t="shared" si="30"/>
        <v>20</v>
      </c>
      <c r="E449" t="str">
        <f t="shared" si="31"/>
        <v/>
      </c>
      <c r="F449" t="str">
        <f t="shared" si="33"/>
        <v>PASTAFONTANELLAFIDEOMEDIANO200GR(20)</v>
      </c>
      <c r="G449" t="s">
        <v>2656</v>
      </c>
      <c r="H449" s="2">
        <v>2.7468916174114451E-4</v>
      </c>
    </row>
    <row r="450" spans="1:8" x14ac:dyDescent="0.3">
      <c r="A450" t="s">
        <v>897</v>
      </c>
      <c r="B450" t="s">
        <v>898</v>
      </c>
      <c r="C450">
        <v>25</v>
      </c>
      <c r="D450">
        <f t="shared" ref="D450:D513" si="34">IFERROR(VALUE(IFERROR(
    MID(G450,FIND("(",G450)+1,FIND(")",G450)-FIND("(",G450)-1),
    IFERROR(
        MID(G450,FIND("(",G450)+1,LEN(G450)-FIND("(",G450)),
        ""
    )
)),"")</f>
        <v>25</v>
      </c>
      <c r="E450" t="str">
        <f t="shared" ref="E450:E513" si="35">IFERROR(VALUE(MID(SUBSTITUTE(G450," ",""),
FIND("/",SUBSTITUTE(G450," ",""))+1,
MIN(IFERROR(FIND("PZS",SUBSTITUTE(G450," ","")),999),
    IFERROR(FIND("PZA",SUBSTITUTE(G450," ","")),999))
-FIND("/",SUBSTITUTE(G450," ",""))-1)),"")</f>
        <v/>
      </c>
      <c r="F450" t="str">
        <f>SUBSTITUTE(UPPER(CLEAN(G450))," ","")</f>
        <v>BOLSATRANSPARENTEPLA-GON90X1.20(25)</v>
      </c>
      <c r="G450" t="s">
        <v>2809</v>
      </c>
      <c r="H450" s="2">
        <v>2.7362931974955746E-4</v>
      </c>
    </row>
    <row r="451" spans="1:8" x14ac:dyDescent="0.3">
      <c r="A451" t="s">
        <v>2091</v>
      </c>
      <c r="B451" t="s">
        <v>2092</v>
      </c>
      <c r="C451">
        <v>40</v>
      </c>
      <c r="D451">
        <f t="shared" si="34"/>
        <v>40</v>
      </c>
      <c r="E451" t="str">
        <f t="shared" si="35"/>
        <v/>
      </c>
      <c r="F451" t="str">
        <f t="shared" ref="F451:F456" si="36">SUBSTITUTE(UPPER(CLEAN(B451))," ","")</f>
        <v>GELATINAPIÑAJELLO25G(40)</v>
      </c>
      <c r="G451" t="s">
        <v>3405</v>
      </c>
      <c r="H451" s="2">
        <v>2.6937883048903569E-4</v>
      </c>
    </row>
    <row r="452" spans="1:8" x14ac:dyDescent="0.3">
      <c r="A452" t="s">
        <v>1374</v>
      </c>
      <c r="B452" t="s">
        <v>1375</v>
      </c>
      <c r="C452">
        <v>6</v>
      </c>
      <c r="D452">
        <f t="shared" si="34"/>
        <v>6</v>
      </c>
      <c r="E452" t="str">
        <f t="shared" si="35"/>
        <v/>
      </c>
      <c r="F452" t="str">
        <f t="shared" si="36"/>
        <v>-PURETOMATEFUERTECOND.2.9KG*BOLSA*(6</v>
      </c>
      <c r="G452" t="s">
        <v>3047</v>
      </c>
      <c r="H452" s="2">
        <v>2.693395471961514E-4</v>
      </c>
    </row>
    <row r="453" spans="1:8" x14ac:dyDescent="0.3">
      <c r="A453" t="s">
        <v>2077</v>
      </c>
      <c r="B453" t="s">
        <v>2078</v>
      </c>
      <c r="C453">
        <v>40</v>
      </c>
      <c r="D453">
        <f t="shared" si="34"/>
        <v>40</v>
      </c>
      <c r="E453" t="str">
        <f t="shared" si="35"/>
        <v/>
      </c>
      <c r="F453" t="str">
        <f t="shared" si="36"/>
        <v>GELATINALIMONJELLOLIGHT25G(40)SOBRE</v>
      </c>
      <c r="G453" t="s">
        <v>3398</v>
      </c>
      <c r="H453" s="2">
        <v>2.6775101641605861E-4</v>
      </c>
    </row>
    <row r="454" spans="1:8" x14ac:dyDescent="0.3">
      <c r="A454" t="s">
        <v>2277</v>
      </c>
      <c r="B454" t="s">
        <v>2278</v>
      </c>
      <c r="C454">
        <v>6</v>
      </c>
      <c r="D454">
        <f t="shared" si="34"/>
        <v>6</v>
      </c>
      <c r="E454" t="str">
        <f t="shared" si="35"/>
        <v/>
      </c>
      <c r="F454" t="str">
        <f t="shared" si="36"/>
        <v>CHILENACHOSELMEXICANO2.8KG(6)</v>
      </c>
      <c r="G454" t="s">
        <v>3498</v>
      </c>
      <c r="H454" s="2">
        <v>2.662512924337163E-4</v>
      </c>
    </row>
    <row r="455" spans="1:8" x14ac:dyDescent="0.3">
      <c r="A455" t="s">
        <v>157</v>
      </c>
      <c r="B455" t="s">
        <v>158</v>
      </c>
      <c r="C455">
        <v>24</v>
      </c>
      <c r="D455">
        <f t="shared" si="34"/>
        <v>24</v>
      </c>
      <c r="E455" t="str">
        <f t="shared" si="35"/>
        <v/>
      </c>
      <c r="F455" t="str">
        <f t="shared" si="36"/>
        <v>CREMADECOCOCALAHUA240G(24)</v>
      </c>
      <c r="G455" t="s">
        <v>2439</v>
      </c>
      <c r="H455" s="2">
        <v>2.6622080200536556E-4</v>
      </c>
    </row>
    <row r="456" spans="1:8" x14ac:dyDescent="0.3">
      <c r="A456" t="s">
        <v>2263</v>
      </c>
      <c r="B456" t="s">
        <v>2264</v>
      </c>
      <c r="C456">
        <v>12</v>
      </c>
      <c r="D456">
        <f t="shared" si="34"/>
        <v>12</v>
      </c>
      <c r="E456" t="str">
        <f t="shared" si="35"/>
        <v/>
      </c>
      <c r="F456" t="str">
        <f t="shared" si="36"/>
        <v>#FABULOSOALTERNATIVACLORO1LTO(12)</v>
      </c>
      <c r="G456" t="s">
        <v>3491</v>
      </c>
      <c r="H456" s="2">
        <v>2.6577360198618699E-4</v>
      </c>
    </row>
    <row r="457" spans="1:8" x14ac:dyDescent="0.3">
      <c r="A457" t="s">
        <v>893</v>
      </c>
      <c r="B457" t="s">
        <v>894</v>
      </c>
      <c r="C457">
        <v>25</v>
      </c>
      <c r="D457">
        <f t="shared" si="34"/>
        <v>25</v>
      </c>
      <c r="E457" t="str">
        <f t="shared" si="35"/>
        <v/>
      </c>
      <c r="F457" t="str">
        <f>SUBSTITUTE(UPPER(CLEAN(G457))," ","")</f>
        <v>BOLSAP/BASURAANGUIPLAST90X1.20(25)</v>
      </c>
      <c r="G457" t="s">
        <v>2807</v>
      </c>
      <c r="H457" s="2">
        <v>2.6524689681349983E-4</v>
      </c>
    </row>
    <row r="458" spans="1:8" x14ac:dyDescent="0.3">
      <c r="A458" t="s">
        <v>1368</v>
      </c>
      <c r="B458" t="s">
        <v>1369</v>
      </c>
      <c r="C458">
        <v>12</v>
      </c>
      <c r="D458">
        <f t="shared" si="34"/>
        <v>12</v>
      </c>
      <c r="E458" t="str">
        <f t="shared" si="35"/>
        <v/>
      </c>
      <c r="F458" t="str">
        <f t="shared" ref="F458:F468" si="37">SUBSTITUTE(UPPER(CLEAN(B458))," ","")</f>
        <v>CAJETAREALPOTOSI660G(12)SQUEEZE</v>
      </c>
      <c r="G458" t="s">
        <v>3044</v>
      </c>
      <c r="H458" s="2">
        <v>2.6349289635665317E-4</v>
      </c>
    </row>
    <row r="459" spans="1:8" x14ac:dyDescent="0.3">
      <c r="A459" t="s">
        <v>489</v>
      </c>
      <c r="B459" t="s">
        <v>490</v>
      </c>
      <c r="C459">
        <v>12</v>
      </c>
      <c r="D459">
        <f t="shared" si="34"/>
        <v>12</v>
      </c>
      <c r="E459" t="str">
        <f t="shared" si="35"/>
        <v/>
      </c>
      <c r="F459" t="str">
        <f t="shared" si="37"/>
        <v>SUERONARANJAMANDELECTROLIT625ML(12)</v>
      </c>
      <c r="G459" t="s">
        <v>2605</v>
      </c>
      <c r="H459" s="2">
        <v>2.6328641665119022E-4</v>
      </c>
    </row>
    <row r="460" spans="1:8" x14ac:dyDescent="0.3">
      <c r="A460" t="s">
        <v>285</v>
      </c>
      <c r="B460" t="s">
        <v>286</v>
      </c>
      <c r="C460">
        <v>12</v>
      </c>
      <c r="D460">
        <f t="shared" si="34"/>
        <v>12</v>
      </c>
      <c r="E460" t="str">
        <f t="shared" si="35"/>
        <v/>
      </c>
      <c r="F460" t="str">
        <f t="shared" si="37"/>
        <v>ZUKONARANJAC/8/13G(12)</v>
      </c>
      <c r="G460" t="s">
        <v>2503</v>
      </c>
      <c r="H460" s="2">
        <v>2.6119970759885477E-4</v>
      </c>
    </row>
    <row r="461" spans="1:8" x14ac:dyDescent="0.3">
      <c r="A461" t="s">
        <v>153</v>
      </c>
      <c r="B461" t="s">
        <v>154</v>
      </c>
      <c r="C461">
        <v>12</v>
      </c>
      <c r="D461">
        <f t="shared" si="34"/>
        <v>12</v>
      </c>
      <c r="E461" t="str">
        <f t="shared" si="35"/>
        <v/>
      </c>
      <c r="F461" t="str">
        <f t="shared" si="37"/>
        <v>JARABEGRANADINAMADRILEÑA1L(12)</v>
      </c>
      <c r="G461" t="s">
        <v>2437</v>
      </c>
      <c r="H461" s="2">
        <v>2.592612792041921E-4</v>
      </c>
    </row>
    <row r="462" spans="1:8" x14ac:dyDescent="0.3">
      <c r="A462" t="s">
        <v>693</v>
      </c>
      <c r="B462" t="s">
        <v>694</v>
      </c>
      <c r="C462">
        <v>20</v>
      </c>
      <c r="D462">
        <f t="shared" si="34"/>
        <v>20</v>
      </c>
      <c r="E462" t="str">
        <f t="shared" si="35"/>
        <v/>
      </c>
      <c r="F462" t="str">
        <f t="shared" si="37"/>
        <v>LENTEJAVERDEVALLE500GR(20)</v>
      </c>
      <c r="G462" t="s">
        <v>2707</v>
      </c>
      <c r="H462" s="2">
        <v>2.5844668754430292E-4</v>
      </c>
    </row>
    <row r="463" spans="1:8" x14ac:dyDescent="0.3">
      <c r="A463" t="s">
        <v>1867</v>
      </c>
      <c r="B463" t="s">
        <v>1868</v>
      </c>
      <c r="C463">
        <v>24</v>
      </c>
      <c r="D463">
        <f t="shared" si="34"/>
        <v>24</v>
      </c>
      <c r="E463" t="str">
        <f t="shared" si="35"/>
        <v/>
      </c>
      <c r="F463" t="str">
        <f t="shared" si="37"/>
        <v>LICHISENALMIBARSANMIGUEL567G(24)</v>
      </c>
      <c r="G463" t="s">
        <v>3293</v>
      </c>
      <c r="H463" s="2">
        <v>2.5811361643709308E-4</v>
      </c>
    </row>
    <row r="464" spans="1:8" x14ac:dyDescent="0.3">
      <c r="A464" t="s">
        <v>403</v>
      </c>
      <c r="B464" t="s">
        <v>404</v>
      </c>
      <c r="C464">
        <v>12</v>
      </c>
      <c r="D464">
        <f t="shared" si="34"/>
        <v>12</v>
      </c>
      <c r="E464" t="str">
        <f t="shared" si="35"/>
        <v/>
      </c>
      <c r="F464" t="str">
        <f t="shared" si="37"/>
        <v>PIÑAREBANADACORINA800GR(12)</v>
      </c>
      <c r="G464" t="s">
        <v>2562</v>
      </c>
      <c r="H464" s="2">
        <v>2.5738860107169859E-4</v>
      </c>
    </row>
    <row r="465" spans="1:8" x14ac:dyDescent="0.3">
      <c r="A465" t="s">
        <v>167</v>
      </c>
      <c r="B465" t="s">
        <v>168</v>
      </c>
      <c r="C465">
        <v>18</v>
      </c>
      <c r="D465">
        <f t="shared" si="34"/>
        <v>18</v>
      </c>
      <c r="E465" t="str">
        <f t="shared" si="35"/>
        <v/>
      </c>
      <c r="F465" t="str">
        <f t="shared" si="37"/>
        <v>AGUADECOCOMARACUYAACAPULCOCO330M(18</v>
      </c>
      <c r="G465" t="s">
        <v>2444</v>
      </c>
      <c r="H465" s="2">
        <v>2.5727557115677753E-4</v>
      </c>
    </row>
    <row r="466" spans="1:8" x14ac:dyDescent="0.3">
      <c r="A466" t="s">
        <v>1779</v>
      </c>
      <c r="B466" t="s">
        <v>1780</v>
      </c>
      <c r="C466">
        <v>12</v>
      </c>
      <c r="D466">
        <f t="shared" si="34"/>
        <v>12</v>
      </c>
      <c r="E466" t="str">
        <f t="shared" si="35"/>
        <v/>
      </c>
      <c r="F466" t="str">
        <f t="shared" si="37"/>
        <v>FRIJOLESNEGROSREFRITOSCOSTEÑA580G(12</v>
      </c>
      <c r="G466" t="s">
        <v>3249</v>
      </c>
      <c r="H466" s="2">
        <v>2.5689920697030607E-4</v>
      </c>
    </row>
    <row r="467" spans="1:8" x14ac:dyDescent="0.3">
      <c r="A467" t="s">
        <v>1289</v>
      </c>
      <c r="B467" t="s">
        <v>1290</v>
      </c>
      <c r="C467">
        <v>16</v>
      </c>
      <c r="D467">
        <f t="shared" si="34"/>
        <v>16</v>
      </c>
      <c r="E467" t="str">
        <f t="shared" si="35"/>
        <v/>
      </c>
      <c r="F467" t="str">
        <f t="shared" si="37"/>
        <v>SALSAKETCHUPREDHEINZ397G14OZ(16)</v>
      </c>
      <c r="G467" t="s">
        <v>3005</v>
      </c>
      <c r="H467" s="2">
        <v>2.5382899107875752E-4</v>
      </c>
    </row>
    <row r="468" spans="1:8" x14ac:dyDescent="0.3">
      <c r="A468" t="s">
        <v>2343</v>
      </c>
      <c r="B468" t="s">
        <v>2344</v>
      </c>
      <c r="C468">
        <v>12</v>
      </c>
      <c r="D468">
        <f t="shared" si="34"/>
        <v>12</v>
      </c>
      <c r="E468" t="str">
        <f t="shared" si="35"/>
        <v/>
      </c>
      <c r="F468" t="str">
        <f t="shared" si="37"/>
        <v>ALCAPARRASCARBONELL100GR(12)</v>
      </c>
      <c r="G468" t="s">
        <v>3531</v>
      </c>
      <c r="H468" s="2">
        <v>2.5379584939138873E-4</v>
      </c>
    </row>
    <row r="469" spans="1:8" x14ac:dyDescent="0.3">
      <c r="A469" t="s">
        <v>107</v>
      </c>
      <c r="B469" t="s">
        <v>108</v>
      </c>
      <c r="C469">
        <v>12</v>
      </c>
      <c r="D469" t="str">
        <f t="shared" si="34"/>
        <v/>
      </c>
      <c r="E469" t="str">
        <f t="shared" si="35"/>
        <v/>
      </c>
      <c r="F469" t="str">
        <f>SUBSTITUTE(UPPER(CLEAN(G469))," ","")</f>
        <v>AGUAPURIFICADAGYMC/12/1L</v>
      </c>
      <c r="G469" t="s">
        <v>2414</v>
      </c>
      <c r="H469" s="2">
        <v>2.5336378094361245E-4</v>
      </c>
    </row>
    <row r="470" spans="1:8" x14ac:dyDescent="0.3">
      <c r="A470" t="s">
        <v>1580</v>
      </c>
      <c r="B470" t="s">
        <v>1581</v>
      </c>
      <c r="C470">
        <v>12</v>
      </c>
      <c r="D470">
        <f t="shared" si="34"/>
        <v>12</v>
      </c>
      <c r="E470" t="str">
        <f t="shared" si="35"/>
        <v/>
      </c>
      <c r="F470" t="str">
        <f t="shared" ref="F470:F482" si="38">SUBSTITUTE(UPPER(CLEAN(B470))," ","")</f>
        <v>MIELKAROVAINILLA510ML(12)</v>
      </c>
      <c r="G470" t="s">
        <v>3150</v>
      </c>
      <c r="H470" s="2">
        <v>2.532463462873825E-4</v>
      </c>
    </row>
    <row r="471" spans="1:8" x14ac:dyDescent="0.3">
      <c r="A471" t="s">
        <v>163</v>
      </c>
      <c r="B471" t="s">
        <v>164</v>
      </c>
      <c r="C471">
        <v>18</v>
      </c>
      <c r="D471">
        <f t="shared" si="34"/>
        <v>18</v>
      </c>
      <c r="E471" t="str">
        <f t="shared" si="35"/>
        <v/>
      </c>
      <c r="F471" t="str">
        <f t="shared" si="38"/>
        <v>AGUADECOCOACAPULCOCONATURAL330M(18)</v>
      </c>
      <c r="G471" t="s">
        <v>2442</v>
      </c>
      <c r="H471" s="2">
        <v>2.5283664324190287E-4</v>
      </c>
    </row>
    <row r="472" spans="1:8" x14ac:dyDescent="0.3">
      <c r="A472" t="s">
        <v>815</v>
      </c>
      <c r="B472" t="s">
        <v>816</v>
      </c>
      <c r="C472">
        <v>10</v>
      </c>
      <c r="D472">
        <f t="shared" si="34"/>
        <v>10</v>
      </c>
      <c r="E472" t="str">
        <f t="shared" si="35"/>
        <v/>
      </c>
      <c r="F472" t="str">
        <f t="shared" si="38"/>
        <v>-DETERGENTEARIELOXIAZUL850GR.(10</v>
      </c>
      <c r="G472" t="s">
        <v>2768</v>
      </c>
      <c r="H472" s="2">
        <v>2.5277334828622573E-4</v>
      </c>
    </row>
    <row r="473" spans="1:8" x14ac:dyDescent="0.3">
      <c r="A473" t="s">
        <v>1913</v>
      </c>
      <c r="B473" t="s">
        <v>1914</v>
      </c>
      <c r="C473">
        <v>12</v>
      </c>
      <c r="D473">
        <f t="shared" si="34"/>
        <v>12</v>
      </c>
      <c r="E473" t="str">
        <f t="shared" si="35"/>
        <v/>
      </c>
      <c r="F473" t="str">
        <f t="shared" si="38"/>
        <v>KNORRSUIZAC/24TIRA(12)</v>
      </c>
      <c r="G473" t="s">
        <v>3316</v>
      </c>
      <c r="H473" s="2">
        <v>2.4915540249690769E-4</v>
      </c>
    </row>
    <row r="474" spans="1:8" x14ac:dyDescent="0.3">
      <c r="A474" t="s">
        <v>955</v>
      </c>
      <c r="B474" t="s">
        <v>956</v>
      </c>
      <c r="D474">
        <f t="shared" si="34"/>
        <v>24</v>
      </c>
      <c r="E474" t="str">
        <f t="shared" si="35"/>
        <v/>
      </c>
      <c r="F474" t="str">
        <f t="shared" si="38"/>
        <v>-CERVEZATECATE355ML0.0%ALCOHOL(24)</v>
      </c>
      <c r="G474" t="s">
        <v>2838</v>
      </c>
      <c r="H474" s="2">
        <v>2.4612442231998396E-4</v>
      </c>
    </row>
    <row r="475" spans="1:8" x14ac:dyDescent="0.3">
      <c r="A475" t="s">
        <v>1592</v>
      </c>
      <c r="B475" t="s">
        <v>1593</v>
      </c>
      <c r="C475">
        <v>15</v>
      </c>
      <c r="D475">
        <f t="shared" si="34"/>
        <v>15</v>
      </c>
      <c r="E475" t="str">
        <f t="shared" si="35"/>
        <v/>
      </c>
      <c r="F475" t="str">
        <f t="shared" si="38"/>
        <v>PINOL1LTOGRANDE(15)</v>
      </c>
      <c r="G475" t="s">
        <v>3156</v>
      </c>
      <c r="H475" s="2">
        <v>2.4459167442545358E-4</v>
      </c>
    </row>
    <row r="476" spans="1:8" x14ac:dyDescent="0.3">
      <c r="A476" t="s">
        <v>147</v>
      </c>
      <c r="B476" t="s">
        <v>148</v>
      </c>
      <c r="C476">
        <v>6</v>
      </c>
      <c r="D476">
        <f t="shared" si="34"/>
        <v>6</v>
      </c>
      <c r="E476" t="str">
        <f t="shared" si="35"/>
        <v/>
      </c>
      <c r="F476" t="str">
        <f t="shared" si="38"/>
        <v>CREMADECOCOCALAHUA2L(6)GARRAFA</v>
      </c>
      <c r="G476" t="s">
        <v>2434</v>
      </c>
      <c r="H476" s="2">
        <v>2.4294700041901135E-4</v>
      </c>
    </row>
    <row r="477" spans="1:8" x14ac:dyDescent="0.3">
      <c r="A477" t="s">
        <v>1648</v>
      </c>
      <c r="B477" t="s">
        <v>1649</v>
      </c>
      <c r="C477">
        <v>4</v>
      </c>
      <c r="D477">
        <f t="shared" si="34"/>
        <v>4</v>
      </c>
      <c r="E477" t="str">
        <f t="shared" si="35"/>
        <v/>
      </c>
      <c r="F477" t="str">
        <f t="shared" si="38"/>
        <v>ADEREZOHELLMANN'S3.98KG(4)</v>
      </c>
      <c r="G477" t="s">
        <v>3184</v>
      </c>
      <c r="H477" s="2">
        <v>2.4087441783548358E-4</v>
      </c>
    </row>
    <row r="478" spans="1:8" x14ac:dyDescent="0.3">
      <c r="A478" t="s">
        <v>1524</v>
      </c>
      <c r="B478" t="s">
        <v>1525</v>
      </c>
      <c r="C478">
        <v>1</v>
      </c>
      <c r="D478" t="str">
        <f t="shared" si="34"/>
        <v/>
      </c>
      <c r="E478" t="str">
        <f t="shared" si="35"/>
        <v/>
      </c>
      <c r="F478" t="str">
        <f t="shared" si="38"/>
        <v>-GALLETASSALADASGAMESA22/140G</v>
      </c>
      <c r="G478" t="s">
        <v>3122</v>
      </c>
      <c r="H478" s="2">
        <v>2.4018187229919282E-4</v>
      </c>
    </row>
    <row r="479" spans="1:8" x14ac:dyDescent="0.3">
      <c r="A479" t="s">
        <v>2099</v>
      </c>
      <c r="B479" t="s">
        <v>2100</v>
      </c>
      <c r="C479">
        <v>36</v>
      </c>
      <c r="D479">
        <f t="shared" si="34"/>
        <v>36</v>
      </c>
      <c r="E479" t="str">
        <f t="shared" si="35"/>
        <v/>
      </c>
      <c r="F479" t="str">
        <f t="shared" si="38"/>
        <v>FLANCONCARAMELOJELLO35G(36)</v>
      </c>
      <c r="G479" t="s">
        <v>3409</v>
      </c>
      <c r="H479" s="2">
        <v>2.3968536876529158E-4</v>
      </c>
    </row>
    <row r="480" spans="1:8" x14ac:dyDescent="0.3">
      <c r="A480" t="s">
        <v>1660</v>
      </c>
      <c r="B480" t="s">
        <v>1661</v>
      </c>
      <c r="C480">
        <v>12</v>
      </c>
      <c r="D480">
        <f t="shared" si="34"/>
        <v>12</v>
      </c>
      <c r="E480" t="str">
        <f t="shared" si="35"/>
        <v/>
      </c>
      <c r="F480" t="str">
        <f t="shared" si="38"/>
        <v>MERMELADAFRESAMC980G(12)</v>
      </c>
      <c r="G480" t="s">
        <v>3190</v>
      </c>
      <c r="H480" s="2">
        <v>2.3938459375343057E-4</v>
      </c>
    </row>
    <row r="481" spans="1:8" x14ac:dyDescent="0.3">
      <c r="A481" t="s">
        <v>1540</v>
      </c>
      <c r="B481" t="s">
        <v>1541</v>
      </c>
      <c r="C481">
        <v>12</v>
      </c>
      <c r="D481">
        <f t="shared" si="34"/>
        <v>12</v>
      </c>
      <c r="E481" t="str">
        <f t="shared" si="35"/>
        <v/>
      </c>
      <c r="F481" t="str">
        <f t="shared" si="38"/>
        <v>AVENAQUAKER475G(12)</v>
      </c>
      <c r="G481" t="s">
        <v>3130</v>
      </c>
      <c r="H481" s="2">
        <v>2.392403054943571E-4</v>
      </c>
    </row>
    <row r="482" spans="1:8" x14ac:dyDescent="0.3">
      <c r="A482" t="s">
        <v>637</v>
      </c>
      <c r="B482" t="s">
        <v>638</v>
      </c>
      <c r="C482">
        <v>1</v>
      </c>
      <c r="D482" t="str">
        <f t="shared" si="34"/>
        <v/>
      </c>
      <c r="E482" t="str">
        <f t="shared" si="35"/>
        <v/>
      </c>
      <c r="F482" t="str">
        <f t="shared" si="38"/>
        <v>SALDEPSREFINADAYODADA25KG</v>
      </c>
      <c r="G482" t="s">
        <v>2679</v>
      </c>
      <c r="H482" s="2">
        <v>2.3899173141095207E-4</v>
      </c>
    </row>
    <row r="483" spans="1:8" x14ac:dyDescent="0.3">
      <c r="A483" t="s">
        <v>905</v>
      </c>
      <c r="B483" t="s">
        <v>906</v>
      </c>
      <c r="C483">
        <v>25</v>
      </c>
      <c r="D483">
        <f t="shared" si="34"/>
        <v>25</v>
      </c>
      <c r="E483" t="str">
        <f t="shared" si="35"/>
        <v/>
      </c>
      <c r="F483" t="str">
        <f>SUBSTITUTE(UPPER(CLEAN(G483))," ","")</f>
        <v>BOLSATRANSPARENTE60X901KG(25)</v>
      </c>
      <c r="G483" t="s">
        <v>2813</v>
      </c>
      <c r="H483" s="2">
        <v>2.3884003546346849E-4</v>
      </c>
    </row>
    <row r="484" spans="1:8" x14ac:dyDescent="0.3">
      <c r="A484" t="s">
        <v>789</v>
      </c>
      <c r="B484" t="s">
        <v>790</v>
      </c>
      <c r="C484">
        <v>40</v>
      </c>
      <c r="D484">
        <f t="shared" si="34"/>
        <v>40</v>
      </c>
      <c r="E484" t="str">
        <f t="shared" si="35"/>
        <v/>
      </c>
      <c r="F484" t="str">
        <f t="shared" ref="F484:F522" si="39">SUBSTITUTE(UPPER(CLEAN(B484))," ","")</f>
        <v>TENEDORMEDIANOGARDUÑOC/25(40)</v>
      </c>
      <c r="G484" t="s">
        <v>2755</v>
      </c>
      <c r="H484" s="2">
        <v>2.3801066028084116E-4</v>
      </c>
    </row>
    <row r="485" spans="1:8" x14ac:dyDescent="0.3">
      <c r="A485" t="s">
        <v>5</v>
      </c>
      <c r="B485" t="s">
        <v>6</v>
      </c>
      <c r="C485">
        <v>1</v>
      </c>
      <c r="D485" t="str">
        <f t="shared" si="34"/>
        <v/>
      </c>
      <c r="E485" t="str">
        <f t="shared" si="35"/>
        <v/>
      </c>
      <c r="F485" t="str">
        <f t="shared" si="39"/>
        <v>FRIJOLESBAYOSKNORR18KG</v>
      </c>
      <c r="G485" t="s">
        <v>2363</v>
      </c>
      <c r="H485" s="2">
        <v>2.3728848157339926E-4</v>
      </c>
    </row>
    <row r="486" spans="1:8" x14ac:dyDescent="0.3">
      <c r="A486" t="s">
        <v>2283</v>
      </c>
      <c r="B486" t="s">
        <v>2284</v>
      </c>
      <c r="C486">
        <v>20</v>
      </c>
      <c r="D486">
        <f t="shared" si="34"/>
        <v>20</v>
      </c>
      <c r="E486" t="str">
        <f t="shared" si="35"/>
        <v/>
      </c>
      <c r="F486" t="str">
        <f t="shared" si="39"/>
        <v>AZUCARMASCABADOMETCO1KG(20)</v>
      </c>
      <c r="G486" t="s">
        <v>3501</v>
      </c>
      <c r="H486" s="2">
        <v>2.3516119290305473E-4</v>
      </c>
    </row>
    <row r="487" spans="1:8" x14ac:dyDescent="0.3">
      <c r="A487" t="s">
        <v>1879</v>
      </c>
      <c r="B487" t="s">
        <v>1880</v>
      </c>
      <c r="C487">
        <v>4</v>
      </c>
      <c r="D487">
        <f t="shared" si="34"/>
        <v>4</v>
      </c>
      <c r="E487" t="str">
        <f t="shared" si="35"/>
        <v/>
      </c>
      <c r="F487" t="str">
        <f t="shared" si="39"/>
        <v>-ADEREZODEMAYONESAC/LIMONHELL3.5KG(4</v>
      </c>
      <c r="G487" t="s">
        <v>3299</v>
      </c>
      <c r="H487" s="2">
        <v>2.3433023587934057E-4</v>
      </c>
    </row>
    <row r="488" spans="1:8" x14ac:dyDescent="0.3">
      <c r="A488" t="s">
        <v>2269</v>
      </c>
      <c r="B488" t="s">
        <v>2270</v>
      </c>
      <c r="C488">
        <v>48</v>
      </c>
      <c r="D488">
        <f t="shared" si="34"/>
        <v>48</v>
      </c>
      <c r="E488">
        <f t="shared" si="35"/>
        <v>5</v>
      </c>
      <c r="F488" t="str">
        <f t="shared" si="39"/>
        <v>TELAMAGITELC/5PZA(48)</v>
      </c>
      <c r="G488" t="s">
        <v>3494</v>
      </c>
      <c r="H488" s="2">
        <v>2.3399615838695987E-4</v>
      </c>
    </row>
    <row r="489" spans="1:8" x14ac:dyDescent="0.3">
      <c r="A489" t="s">
        <v>1759</v>
      </c>
      <c r="B489" t="s">
        <v>1760</v>
      </c>
      <c r="C489">
        <v>6</v>
      </c>
      <c r="D489">
        <f t="shared" si="34"/>
        <v>6</v>
      </c>
      <c r="E489" t="str">
        <f t="shared" si="35"/>
        <v/>
      </c>
      <c r="F489" t="str">
        <f t="shared" si="39"/>
        <v>SAZONADORMCTIPOITALIANO177GR*(6</v>
      </c>
      <c r="G489" t="s">
        <v>3239</v>
      </c>
      <c r="H489" s="2">
        <v>2.3318242088260109E-4</v>
      </c>
    </row>
    <row r="490" spans="1:8" x14ac:dyDescent="0.3">
      <c r="A490" t="s">
        <v>1596</v>
      </c>
      <c r="B490" t="s">
        <v>1597</v>
      </c>
      <c r="C490">
        <v>6</v>
      </c>
      <c r="D490">
        <f t="shared" si="34"/>
        <v>6</v>
      </c>
      <c r="E490" t="str">
        <f t="shared" si="35"/>
        <v/>
      </c>
      <c r="F490" t="str">
        <f t="shared" si="39"/>
        <v>PINOL3.785LTSFAMILIAR(6)</v>
      </c>
      <c r="G490" t="s">
        <v>3158</v>
      </c>
      <c r="H490" s="2">
        <v>2.3171737281029738E-4</v>
      </c>
    </row>
    <row r="491" spans="1:8" x14ac:dyDescent="0.3">
      <c r="A491" t="s">
        <v>717</v>
      </c>
      <c r="B491" t="s">
        <v>718</v>
      </c>
      <c r="C491">
        <v>12</v>
      </c>
      <c r="D491">
        <f t="shared" si="34"/>
        <v>12</v>
      </c>
      <c r="E491" t="str">
        <f t="shared" si="35"/>
        <v/>
      </c>
      <c r="F491" t="str">
        <f t="shared" si="39"/>
        <v>VINAGREMANZANACIERVO1LTO(12)</v>
      </c>
      <c r="G491" t="s">
        <v>2719</v>
      </c>
      <c r="H491" s="2">
        <v>2.3166092171575346E-4</v>
      </c>
    </row>
    <row r="492" spans="1:8" x14ac:dyDescent="0.3">
      <c r="A492" t="s">
        <v>1392</v>
      </c>
      <c r="B492" t="s">
        <v>1393</v>
      </c>
      <c r="C492">
        <v>10</v>
      </c>
      <c r="D492">
        <f t="shared" si="34"/>
        <v>10</v>
      </c>
      <c r="E492" t="str">
        <f t="shared" si="35"/>
        <v/>
      </c>
      <c r="F492" t="str">
        <f t="shared" si="39"/>
        <v>-HARINAHOTCAKESBETTYC.700GR(10)</v>
      </c>
      <c r="G492" t="s">
        <v>3056</v>
      </c>
      <c r="H492" s="2">
        <v>2.3161065872590893E-4</v>
      </c>
    </row>
    <row r="493" spans="1:8" x14ac:dyDescent="0.3">
      <c r="A493" t="s">
        <v>1811</v>
      </c>
      <c r="B493" t="s">
        <v>1812</v>
      </c>
      <c r="C493">
        <v>24</v>
      </c>
      <c r="D493">
        <f t="shared" si="34"/>
        <v>24</v>
      </c>
      <c r="E493" t="str">
        <f t="shared" si="35"/>
        <v/>
      </c>
      <c r="F493" t="str">
        <f t="shared" si="39"/>
        <v>CHILEPIMIENTOMORRONCOSTEÑA200G(24)</v>
      </c>
      <c r="G493" t="s">
        <v>3265</v>
      </c>
      <c r="H493" s="2">
        <v>2.2893106128851282E-4</v>
      </c>
    </row>
    <row r="494" spans="1:8" x14ac:dyDescent="0.3">
      <c r="A494" t="s">
        <v>731</v>
      </c>
      <c r="B494" t="s">
        <v>732</v>
      </c>
      <c r="C494">
        <v>2</v>
      </c>
      <c r="D494">
        <f t="shared" si="34"/>
        <v>2</v>
      </c>
      <c r="E494" t="str">
        <f t="shared" si="35"/>
        <v/>
      </c>
      <c r="F494" t="str">
        <f t="shared" si="39"/>
        <v>HERSHEY'SCOCOA5KG(2)</v>
      </c>
      <c r="G494" t="s">
        <v>2726</v>
      </c>
      <c r="H494" s="2">
        <v>2.2881901466606053E-4</v>
      </c>
    </row>
    <row r="495" spans="1:8" x14ac:dyDescent="0.3">
      <c r="A495" t="s">
        <v>1492</v>
      </c>
      <c r="B495" t="s">
        <v>1493</v>
      </c>
      <c r="C495">
        <v>12</v>
      </c>
      <c r="D495" t="str">
        <f t="shared" si="34"/>
        <v/>
      </c>
      <c r="E495" t="str">
        <f t="shared" si="35"/>
        <v/>
      </c>
      <c r="F495" t="str">
        <f t="shared" si="39"/>
        <v>ACEITEOLIVAE.VCARBONELL500M(12VIDRIO</v>
      </c>
      <c r="G495" t="s">
        <v>3106</v>
      </c>
      <c r="H495" s="2">
        <v>2.2650586434627066E-4</v>
      </c>
    </row>
    <row r="496" spans="1:8" x14ac:dyDescent="0.3">
      <c r="A496" t="s">
        <v>1690</v>
      </c>
      <c r="B496" t="s">
        <v>1691</v>
      </c>
      <c r="C496">
        <v>24</v>
      </c>
      <c r="D496">
        <f t="shared" si="34"/>
        <v>24</v>
      </c>
      <c r="E496" t="str">
        <f t="shared" si="35"/>
        <v/>
      </c>
      <c r="F496" t="str">
        <f t="shared" si="39"/>
        <v>TECANELA/MANZANAMCC/25PZA(24)</v>
      </c>
      <c r="G496" t="s">
        <v>3205</v>
      </c>
      <c r="H496" s="2">
        <v>2.2574938521728575E-4</v>
      </c>
    </row>
    <row r="497" spans="1:8" x14ac:dyDescent="0.3">
      <c r="A497" t="s">
        <v>1151</v>
      </c>
      <c r="B497" t="s">
        <v>1152</v>
      </c>
      <c r="C497">
        <v>50</v>
      </c>
      <c r="D497">
        <f t="shared" si="34"/>
        <v>50</v>
      </c>
      <c r="E497" t="str">
        <f t="shared" si="35"/>
        <v/>
      </c>
      <c r="F497" t="str">
        <f t="shared" si="39"/>
        <v>CEREALFROOTLOOPSKELLOGG´S25G(50)</v>
      </c>
      <c r="G497" t="s">
        <v>2936</v>
      </c>
      <c r="H497" s="2">
        <v>2.2226162449104852E-4</v>
      </c>
    </row>
    <row r="498" spans="1:8" x14ac:dyDescent="0.3">
      <c r="A498" t="s">
        <v>663</v>
      </c>
      <c r="B498" t="s">
        <v>664</v>
      </c>
      <c r="C498">
        <v>24</v>
      </c>
      <c r="D498">
        <f t="shared" si="34"/>
        <v>24</v>
      </c>
      <c r="E498" t="str">
        <f t="shared" si="35"/>
        <v/>
      </c>
      <c r="F498" t="str">
        <f t="shared" si="39"/>
        <v>SALSALAGUACAMAYATRAD150ML(24)</v>
      </c>
      <c r="G498" t="s">
        <v>2692</v>
      </c>
      <c r="H498" s="2">
        <v>2.2104344662432921E-4</v>
      </c>
    </row>
    <row r="499" spans="1:8" x14ac:dyDescent="0.3">
      <c r="A499" t="s">
        <v>1608</v>
      </c>
      <c r="B499" t="s">
        <v>1609</v>
      </c>
      <c r="C499">
        <v>6</v>
      </c>
      <c r="D499">
        <f t="shared" si="34"/>
        <v>6</v>
      </c>
      <c r="E499" t="str">
        <f t="shared" si="35"/>
        <v/>
      </c>
      <c r="F499" t="str">
        <f t="shared" si="39"/>
        <v>VINAGREBALSAMICOCARBONELL250ML(6)</v>
      </c>
      <c r="G499" t="s">
        <v>3164</v>
      </c>
      <c r="H499" s="2">
        <v>2.2098329142525476E-4</v>
      </c>
    </row>
    <row r="500" spans="1:8" x14ac:dyDescent="0.3">
      <c r="A500" t="s">
        <v>509</v>
      </c>
      <c r="B500" t="s">
        <v>510</v>
      </c>
      <c r="C500">
        <v>6</v>
      </c>
      <c r="D500">
        <f t="shared" si="34"/>
        <v>6</v>
      </c>
      <c r="E500" t="str">
        <f t="shared" si="35"/>
        <v/>
      </c>
      <c r="F500" t="str">
        <f t="shared" si="39"/>
        <v>LECHEDECOCOALMENDRACALAHUA1L(6)</v>
      </c>
      <c r="G500" t="s">
        <v>2615</v>
      </c>
      <c r="H500" s="2">
        <v>2.1902311468713058E-4</v>
      </c>
    </row>
    <row r="501" spans="1:8" x14ac:dyDescent="0.3">
      <c r="A501" t="s">
        <v>2247</v>
      </c>
      <c r="B501" t="s">
        <v>2248</v>
      </c>
      <c r="C501">
        <v>12</v>
      </c>
      <c r="D501">
        <f t="shared" si="34"/>
        <v>12</v>
      </c>
      <c r="E501" t="str">
        <f t="shared" si="35"/>
        <v/>
      </c>
      <c r="F501" t="str">
        <f t="shared" si="39"/>
        <v>FABULOSOMARFRESCO1LTO*(12</v>
      </c>
      <c r="G501" t="s">
        <v>3483</v>
      </c>
      <c r="H501" s="2">
        <v>2.1838002650109489E-4</v>
      </c>
    </row>
    <row r="502" spans="1:8" x14ac:dyDescent="0.3">
      <c r="A502" t="s">
        <v>929</v>
      </c>
      <c r="B502" t="s">
        <v>930</v>
      </c>
      <c r="C502">
        <v>9</v>
      </c>
      <c r="D502">
        <f t="shared" si="34"/>
        <v>9</v>
      </c>
      <c r="E502">
        <f t="shared" si="35"/>
        <v>12250</v>
      </c>
      <c r="F502" t="str">
        <f t="shared" si="39"/>
        <v>PALILLOPICUDOSC/12250PZA(9)</v>
      </c>
      <c r="G502" t="s">
        <v>2825</v>
      </c>
      <c r="H502" s="2">
        <v>2.1618972441855914E-4</v>
      </c>
    </row>
    <row r="503" spans="1:8" x14ac:dyDescent="0.3">
      <c r="A503" t="s">
        <v>1131</v>
      </c>
      <c r="B503" t="s">
        <v>1132</v>
      </c>
      <c r="C503">
        <v>50</v>
      </c>
      <c r="D503">
        <f t="shared" si="34"/>
        <v>50</v>
      </c>
      <c r="E503" t="str">
        <f t="shared" si="35"/>
        <v/>
      </c>
      <c r="F503" t="str">
        <f t="shared" si="39"/>
        <v>CEREALCHOCOKRISPISKELLOGG´S38G(50)</v>
      </c>
      <c r="G503" t="s">
        <v>2926</v>
      </c>
      <c r="H503" s="2">
        <v>2.1610122509412716E-4</v>
      </c>
    </row>
    <row r="504" spans="1:8" x14ac:dyDescent="0.3">
      <c r="A504" t="s">
        <v>1003</v>
      </c>
      <c r="B504" t="s">
        <v>1004</v>
      </c>
      <c r="C504">
        <v>12</v>
      </c>
      <c r="D504">
        <f t="shared" si="34"/>
        <v>12</v>
      </c>
      <c r="E504" t="str">
        <f t="shared" si="35"/>
        <v/>
      </c>
      <c r="F504" t="str">
        <f t="shared" si="39"/>
        <v>SALSASOYAKIKOMAN148ML(12)</v>
      </c>
      <c r="G504" t="s">
        <v>2862</v>
      </c>
      <c r="H504" s="2">
        <v>2.1599524452759719E-4</v>
      </c>
    </row>
    <row r="505" spans="1:8" x14ac:dyDescent="0.3">
      <c r="A505" t="s">
        <v>1602</v>
      </c>
      <c r="B505" t="s">
        <v>1603</v>
      </c>
      <c r="C505">
        <v>24</v>
      </c>
      <c r="D505">
        <f t="shared" si="34"/>
        <v>24</v>
      </c>
      <c r="E505" t="str">
        <f t="shared" si="35"/>
        <v/>
      </c>
      <c r="F505" t="str">
        <f t="shared" si="39"/>
        <v>FRIJOLESBAYOSREFRITOSISADORA430G(24)</v>
      </c>
      <c r="G505" t="s">
        <v>3161</v>
      </c>
      <c r="H505" s="2">
        <v>2.1410464920393078E-4</v>
      </c>
    </row>
    <row r="506" spans="1:8" x14ac:dyDescent="0.3">
      <c r="A506" t="s">
        <v>2353</v>
      </c>
      <c r="B506" t="s">
        <v>2354</v>
      </c>
      <c r="C506">
        <v>12</v>
      </c>
      <c r="D506">
        <f t="shared" si="34"/>
        <v>12</v>
      </c>
      <c r="E506" t="str">
        <f t="shared" si="35"/>
        <v/>
      </c>
      <c r="F506" t="str">
        <f t="shared" si="39"/>
        <v>ACEITUNANEGRAS/HUESOCARBONELL340G(12</v>
      </c>
      <c r="G506" t="s">
        <v>3536</v>
      </c>
      <c r="H506" s="2">
        <v>2.1297434814084373E-4</v>
      </c>
    </row>
    <row r="507" spans="1:8" x14ac:dyDescent="0.3">
      <c r="A507" t="s">
        <v>1165</v>
      </c>
      <c r="B507" t="s">
        <v>1166</v>
      </c>
      <c r="C507">
        <v>1</v>
      </c>
      <c r="D507" t="str">
        <f t="shared" si="34"/>
        <v/>
      </c>
      <c r="E507" t="str">
        <f t="shared" si="35"/>
        <v/>
      </c>
      <c r="F507" t="str">
        <f t="shared" si="39"/>
        <v>MOSTAZAHEINZC/500/5GR</v>
      </c>
      <c r="G507" t="s">
        <v>2943</v>
      </c>
      <c r="H507" s="2">
        <v>2.1220306681724564E-4</v>
      </c>
    </row>
    <row r="508" spans="1:8" x14ac:dyDescent="0.3">
      <c r="A508" t="s">
        <v>1468</v>
      </c>
      <c r="B508" t="s">
        <v>1469</v>
      </c>
      <c r="C508">
        <v>24</v>
      </c>
      <c r="D508">
        <f t="shared" si="34"/>
        <v>24</v>
      </c>
      <c r="E508" t="str">
        <f t="shared" si="35"/>
        <v/>
      </c>
      <c r="F508" t="str">
        <f t="shared" si="39"/>
        <v>GARBANZOSHERDEZ400GR(24)</v>
      </c>
      <c r="G508" t="s">
        <v>3094</v>
      </c>
      <c r="H508" s="2">
        <v>2.1192849777821601E-4</v>
      </c>
    </row>
    <row r="509" spans="1:8" x14ac:dyDescent="0.3">
      <c r="A509" t="s">
        <v>1767</v>
      </c>
      <c r="B509" t="s">
        <v>1768</v>
      </c>
      <c r="C509">
        <v>6</v>
      </c>
      <c r="D509">
        <f t="shared" si="34"/>
        <v>6</v>
      </c>
      <c r="E509" t="str">
        <f t="shared" si="35"/>
        <v/>
      </c>
      <c r="F509" t="str">
        <f t="shared" si="39"/>
        <v>SAZONADORP/CARNEMONTREALMC822G(6)</v>
      </c>
      <c r="G509" t="s">
        <v>3243</v>
      </c>
      <c r="H509" s="2">
        <v>2.1097931865594172E-4</v>
      </c>
    </row>
    <row r="510" spans="1:8" x14ac:dyDescent="0.3">
      <c r="A510" t="s">
        <v>2267</v>
      </c>
      <c r="B510" t="s">
        <v>2268</v>
      </c>
      <c r="C510">
        <v>3</v>
      </c>
      <c r="D510">
        <f t="shared" si="34"/>
        <v>3</v>
      </c>
      <c r="E510" t="str">
        <f t="shared" si="35"/>
        <v/>
      </c>
      <c r="F510" t="str">
        <f t="shared" si="39"/>
        <v>FABULOSOLAVANDA5LTS(3)</v>
      </c>
      <c r="G510" t="s">
        <v>3493</v>
      </c>
      <c r="H510" s="2">
        <v>2.1069779326721757E-4</v>
      </c>
    </row>
    <row r="511" spans="1:8" x14ac:dyDescent="0.3">
      <c r="A511" t="s">
        <v>101</v>
      </c>
      <c r="B511" t="s">
        <v>102</v>
      </c>
      <c r="C511">
        <v>1</v>
      </c>
      <c r="D511" t="str">
        <f t="shared" si="34"/>
        <v/>
      </c>
      <c r="E511" t="str">
        <f t="shared" si="35"/>
        <v/>
      </c>
      <c r="F511" t="str">
        <f t="shared" si="39"/>
        <v>-ACEITESOYABIDON20LT</v>
      </c>
      <c r="G511" t="s">
        <v>2411</v>
      </c>
      <c r="H511" s="2">
        <v>2.1009088798261508E-4</v>
      </c>
    </row>
    <row r="512" spans="1:8" x14ac:dyDescent="0.3">
      <c r="A512" t="s">
        <v>651</v>
      </c>
      <c r="B512" t="s">
        <v>652</v>
      </c>
      <c r="C512">
        <v>24</v>
      </c>
      <c r="D512">
        <f t="shared" si="34"/>
        <v>24</v>
      </c>
      <c r="E512" t="str">
        <f t="shared" si="35"/>
        <v/>
      </c>
      <c r="F512" t="str">
        <f t="shared" si="39"/>
        <v>SALSAROJAVALENTINA370ML(24)</v>
      </c>
      <c r="G512" t="s">
        <v>2686</v>
      </c>
      <c r="H512" s="2">
        <v>2.0969606883247934E-4</v>
      </c>
    </row>
    <row r="513" spans="1:8" x14ac:dyDescent="0.3">
      <c r="A513" t="s">
        <v>41</v>
      </c>
      <c r="B513" t="s">
        <v>42</v>
      </c>
      <c r="C513">
        <v>20</v>
      </c>
      <c r="D513">
        <f t="shared" si="34"/>
        <v>20</v>
      </c>
      <c r="E513" t="str">
        <f t="shared" si="35"/>
        <v/>
      </c>
      <c r="F513" t="str">
        <f t="shared" si="39"/>
        <v>-MANTECAINCA100G(20)***</v>
      </c>
      <c r="G513" t="s">
        <v>2381</v>
      </c>
      <c r="H513" s="2">
        <v>2.0927571757339548E-4</v>
      </c>
    </row>
    <row r="514" spans="1:8" x14ac:dyDescent="0.3">
      <c r="A514" t="s">
        <v>1688</v>
      </c>
      <c r="B514" t="s">
        <v>1689</v>
      </c>
      <c r="C514">
        <v>24</v>
      </c>
      <c r="D514">
        <f t="shared" ref="D514:D577" si="40">IFERROR(VALUE(IFERROR(
    MID(G514,FIND("(",G514)+1,FIND(")",G514)-FIND("(",G514)-1),
    IFERROR(
        MID(G514,FIND("(",G514)+1,LEN(G514)-FIND("(",G514)),
        ""
    )
)),"")</f>
        <v>24</v>
      </c>
      <c r="E514">
        <f t="shared" ref="E514:E577" si="41">IFERROR(VALUE(MID(SUBSTITUTE(G514," ",""),
FIND("/",SUBSTITUTE(G514," ",""))+1,
MIN(IFERROR(FIND("PZS",SUBSTITUTE(G514," ","")),999),
    IFERROR(FIND("PZA",SUBSTITUTE(G514," ","")),999))
-FIND("/",SUBSTITUTE(G514," ",""))-1)),"")</f>
        <v>50</v>
      </c>
      <c r="F514" t="str">
        <f t="shared" si="39"/>
        <v>TEMANZANILLAMCC/50PZS(24)</v>
      </c>
      <c r="G514" t="s">
        <v>3204</v>
      </c>
      <c r="H514" s="2">
        <v>2.0893852558599317E-4</v>
      </c>
    </row>
    <row r="515" spans="1:8" x14ac:dyDescent="0.3">
      <c r="A515" t="s">
        <v>2155</v>
      </c>
      <c r="B515" t="s">
        <v>2156</v>
      </c>
      <c r="C515">
        <v>1</v>
      </c>
      <c r="D515" t="str">
        <f t="shared" si="40"/>
        <v/>
      </c>
      <c r="E515" t="str">
        <f t="shared" si="41"/>
        <v/>
      </c>
      <c r="F515" t="str">
        <f t="shared" si="39"/>
        <v>%EMPANIZADORKNORR5KG*BULTO*</v>
      </c>
      <c r="G515" t="s">
        <v>3437</v>
      </c>
      <c r="H515" s="2">
        <v>2.0867955909647864E-4</v>
      </c>
    </row>
    <row r="516" spans="1:8" x14ac:dyDescent="0.3">
      <c r="A516" t="s">
        <v>2293</v>
      </c>
      <c r="B516" t="s">
        <v>2294</v>
      </c>
      <c r="C516">
        <v>6</v>
      </c>
      <c r="D516">
        <f t="shared" si="40"/>
        <v>6</v>
      </c>
      <c r="E516" t="str">
        <f t="shared" si="41"/>
        <v/>
      </c>
      <c r="F516" t="str">
        <f t="shared" si="39"/>
        <v>SALSATIPOCATSUPMEGASUPREMA4.5K(6)</v>
      </c>
      <c r="G516" t="s">
        <v>3506</v>
      </c>
      <c r="H516" s="2">
        <v>2.0862138816712958E-4</v>
      </c>
    </row>
    <row r="517" spans="1:8" x14ac:dyDescent="0.3">
      <c r="A517" t="s">
        <v>1408</v>
      </c>
      <c r="B517" t="s">
        <v>1409</v>
      </c>
      <c r="C517">
        <v>12</v>
      </c>
      <c r="D517">
        <f t="shared" si="40"/>
        <v>12</v>
      </c>
      <c r="E517" t="str">
        <f t="shared" si="41"/>
        <v/>
      </c>
      <c r="F517" t="str">
        <f t="shared" si="39"/>
        <v>FRIJOLESBAYOSREFRITOSSIERRA580G(12)</v>
      </c>
      <c r="G517" t="s">
        <v>3064</v>
      </c>
      <c r="H517" s="2">
        <v>2.0784513606381287E-4</v>
      </c>
    </row>
    <row r="518" spans="1:8" x14ac:dyDescent="0.3">
      <c r="A518" t="s">
        <v>81</v>
      </c>
      <c r="B518" t="s">
        <v>82</v>
      </c>
      <c r="C518">
        <v>4</v>
      </c>
      <c r="D518">
        <f t="shared" si="40"/>
        <v>4</v>
      </c>
      <c r="E518" t="str">
        <f t="shared" si="41"/>
        <v/>
      </c>
      <c r="F518" t="str">
        <f t="shared" si="39"/>
        <v>ACEITEOLIVAE.VINES5L(4)</v>
      </c>
      <c r="G518" t="s">
        <v>2401</v>
      </c>
      <c r="H518" s="2">
        <v>2.0768803280395607E-4</v>
      </c>
    </row>
    <row r="519" spans="1:8" x14ac:dyDescent="0.3">
      <c r="A519" t="s">
        <v>525</v>
      </c>
      <c r="B519" t="s">
        <v>526</v>
      </c>
      <c r="C519">
        <v>4</v>
      </c>
      <c r="D519">
        <f t="shared" si="40"/>
        <v>4</v>
      </c>
      <c r="E519" t="str">
        <f t="shared" si="41"/>
        <v/>
      </c>
      <c r="F519" t="str">
        <f t="shared" si="39"/>
        <v>MAYONESAREGULARWILSEY3.78GR(4)</v>
      </c>
      <c r="G519" t="s">
        <v>2623</v>
      </c>
      <c r="H519" s="2">
        <v>2.0631696193633287E-4</v>
      </c>
    </row>
    <row r="520" spans="1:8" x14ac:dyDescent="0.3">
      <c r="A520" t="s">
        <v>1470</v>
      </c>
      <c r="B520" t="s">
        <v>1471</v>
      </c>
      <c r="C520">
        <v>24</v>
      </c>
      <c r="D520">
        <f t="shared" si="40"/>
        <v>24</v>
      </c>
      <c r="E520" t="str">
        <f t="shared" si="41"/>
        <v/>
      </c>
      <c r="F520" t="str">
        <f t="shared" si="39"/>
        <v>ELOTEGRANOBLANCOHDEZ220GR(24)</v>
      </c>
      <c r="G520" t="s">
        <v>3095</v>
      </c>
      <c r="H520" s="2">
        <v>2.0613956163460724E-4</v>
      </c>
    </row>
    <row r="521" spans="1:8" x14ac:dyDescent="0.3">
      <c r="A521" t="s">
        <v>2113</v>
      </c>
      <c r="B521" t="s">
        <v>2114</v>
      </c>
      <c r="C521">
        <v>24</v>
      </c>
      <c r="D521">
        <f t="shared" si="40"/>
        <v>24</v>
      </c>
      <c r="E521" t="str">
        <f t="shared" si="41"/>
        <v/>
      </c>
      <c r="F521" t="str">
        <f t="shared" si="39"/>
        <v>PASTAYEMINACONCHANO.1200GR(24)</v>
      </c>
      <c r="G521" t="s">
        <v>3416</v>
      </c>
      <c r="H521" s="2">
        <v>2.0596025465264729E-4</v>
      </c>
    </row>
    <row r="522" spans="1:8" x14ac:dyDescent="0.3">
      <c r="A522" t="s">
        <v>137</v>
      </c>
      <c r="B522" t="s">
        <v>138</v>
      </c>
      <c r="C522">
        <v>6</v>
      </c>
      <c r="D522">
        <f t="shared" si="40"/>
        <v>6</v>
      </c>
      <c r="E522" t="str">
        <f t="shared" si="41"/>
        <v/>
      </c>
      <c r="F522" t="str">
        <f t="shared" si="39"/>
        <v>ATUNENAGUAASTRA1.88K(6)</v>
      </c>
      <c r="G522" t="s">
        <v>2429</v>
      </c>
      <c r="H522" s="2">
        <v>2.0380055756370863E-4</v>
      </c>
    </row>
    <row r="523" spans="1:8" x14ac:dyDescent="0.3">
      <c r="A523" t="s">
        <v>895</v>
      </c>
      <c r="B523" t="s">
        <v>896</v>
      </c>
      <c r="C523">
        <v>25</v>
      </c>
      <c r="D523">
        <f t="shared" si="40"/>
        <v>25</v>
      </c>
      <c r="E523" t="str">
        <f t="shared" si="41"/>
        <v/>
      </c>
      <c r="F523" t="str">
        <f>SUBSTITUTE(UPPER(CLEAN(G523))," ","")</f>
        <v>BOLSAP/BASURANEGRAPLA-GON90X1.20(25)</v>
      </c>
      <c r="G523" t="s">
        <v>2808</v>
      </c>
      <c r="H523" s="2">
        <v>2.0214714111543925E-4</v>
      </c>
    </row>
    <row r="524" spans="1:8" x14ac:dyDescent="0.3">
      <c r="A524" t="s">
        <v>1233</v>
      </c>
      <c r="B524" t="s">
        <v>1234</v>
      </c>
      <c r="C524">
        <v>16</v>
      </c>
      <c r="D524">
        <f t="shared" si="40"/>
        <v>16</v>
      </c>
      <c r="E524" t="str">
        <f t="shared" si="41"/>
        <v/>
      </c>
      <c r="F524" t="str">
        <f t="shared" ref="F524:F532" si="42">SUBSTITUTE(UPPER(CLEAN(B524))," ","")</f>
        <v>CAFECLASICONESCAFE42G(16)</v>
      </c>
      <c r="G524" t="s">
        <v>2977</v>
      </c>
      <c r="H524" s="2">
        <v>2.0183853127556358E-4</v>
      </c>
    </row>
    <row r="525" spans="1:8" x14ac:dyDescent="0.3">
      <c r="A525" t="s">
        <v>1839</v>
      </c>
      <c r="B525" t="s">
        <v>1840</v>
      </c>
      <c r="C525">
        <v>24</v>
      </c>
      <c r="D525">
        <f t="shared" si="40"/>
        <v>24</v>
      </c>
      <c r="E525" t="str">
        <f t="shared" si="41"/>
        <v/>
      </c>
      <c r="F525" t="str">
        <f t="shared" si="42"/>
        <v>ELOTITOTIERNOS.MIGUEL220GR*(24)</v>
      </c>
      <c r="G525" t="s">
        <v>3279</v>
      </c>
      <c r="H525" s="2">
        <v>2.0123598054195961E-4</v>
      </c>
    </row>
    <row r="526" spans="1:8" x14ac:dyDescent="0.3">
      <c r="A526" t="s">
        <v>2257</v>
      </c>
      <c r="B526" t="s">
        <v>2258</v>
      </c>
      <c r="C526">
        <v>12</v>
      </c>
      <c r="D526">
        <f t="shared" si="40"/>
        <v>12</v>
      </c>
      <c r="E526" t="str">
        <f t="shared" si="41"/>
        <v/>
      </c>
      <c r="F526" t="str">
        <f t="shared" si="42"/>
        <v>#FABULOSOFRESCOAMANECER1LTO(12)</v>
      </c>
      <c r="G526" t="s">
        <v>3488</v>
      </c>
      <c r="H526" s="2">
        <v>2.0084640684878176E-4</v>
      </c>
    </row>
    <row r="527" spans="1:8" x14ac:dyDescent="0.3">
      <c r="A527" t="s">
        <v>1686</v>
      </c>
      <c r="B527" t="s">
        <v>1687</v>
      </c>
      <c r="C527">
        <v>24</v>
      </c>
      <c r="D527">
        <f t="shared" si="40"/>
        <v>24</v>
      </c>
      <c r="E527">
        <f t="shared" si="41"/>
        <v>25</v>
      </c>
      <c r="F527" t="str">
        <f t="shared" si="42"/>
        <v>TEMANZANILLAMCC/25PZA(24)</v>
      </c>
      <c r="G527" t="s">
        <v>3203</v>
      </c>
      <c r="H527" s="2">
        <v>1.9978866791989193E-4</v>
      </c>
    </row>
    <row r="528" spans="1:8" x14ac:dyDescent="0.3">
      <c r="A528" t="s">
        <v>1927</v>
      </c>
      <c r="B528" t="s">
        <v>1928</v>
      </c>
      <c r="C528">
        <v>24</v>
      </c>
      <c r="D528">
        <f t="shared" si="40"/>
        <v>24</v>
      </c>
      <c r="E528" t="str">
        <f t="shared" si="41"/>
        <v/>
      </c>
      <c r="F528" t="str">
        <f t="shared" si="42"/>
        <v>KNORRTOMATE100G(24)</v>
      </c>
      <c r="G528" t="s">
        <v>3323</v>
      </c>
      <c r="H528" s="2">
        <v>1.9857375795929766E-4</v>
      </c>
    </row>
    <row r="529" spans="1:8" x14ac:dyDescent="0.3">
      <c r="A529" t="s">
        <v>747</v>
      </c>
      <c r="B529" t="s">
        <v>748</v>
      </c>
      <c r="C529">
        <v>6</v>
      </c>
      <c r="D529">
        <f t="shared" si="40"/>
        <v>6</v>
      </c>
      <c r="E529" t="str">
        <f t="shared" si="41"/>
        <v/>
      </c>
      <c r="F529" t="str">
        <f t="shared" si="42"/>
        <v>BANDERILLATAMARBETAMEXVITROC/50PZ(6)</v>
      </c>
      <c r="G529" t="s">
        <v>2734</v>
      </c>
      <c r="H529" s="2">
        <v>1.9695463481206191E-4</v>
      </c>
    </row>
    <row r="530" spans="1:8" x14ac:dyDescent="0.3">
      <c r="A530" t="s">
        <v>159</v>
      </c>
      <c r="B530" t="s">
        <v>160</v>
      </c>
      <c r="C530">
        <v>12</v>
      </c>
      <c r="D530">
        <f t="shared" si="40"/>
        <v>12</v>
      </c>
      <c r="E530" t="str">
        <f t="shared" si="41"/>
        <v/>
      </c>
      <c r="F530" t="str">
        <f t="shared" si="42"/>
        <v>SANGRITAVIUDADESANCHEZ1L(12)</v>
      </c>
      <c r="G530" t="s">
        <v>2440</v>
      </c>
      <c r="H530" s="2">
        <v>1.9662073659403051E-4</v>
      </c>
    </row>
    <row r="531" spans="1:8" x14ac:dyDescent="0.3">
      <c r="A531" t="s">
        <v>511</v>
      </c>
      <c r="B531" t="s">
        <v>512</v>
      </c>
      <c r="C531">
        <v>12</v>
      </c>
      <c r="D531">
        <f t="shared" si="40"/>
        <v>12</v>
      </c>
      <c r="E531" t="str">
        <f t="shared" si="41"/>
        <v/>
      </c>
      <c r="F531" t="str">
        <f t="shared" si="42"/>
        <v>-LECHEDESLACTOSADAALPURA1L(12)</v>
      </c>
      <c r="G531" t="s">
        <v>2616</v>
      </c>
      <c r="H531" s="2">
        <v>1.9622051723863144E-4</v>
      </c>
    </row>
    <row r="532" spans="1:8" x14ac:dyDescent="0.3">
      <c r="A532" t="s">
        <v>47</v>
      </c>
      <c r="B532" t="s">
        <v>48</v>
      </c>
      <c r="C532">
        <v>21</v>
      </c>
      <c r="D532">
        <f t="shared" si="40"/>
        <v>21</v>
      </c>
      <c r="E532" t="str">
        <f t="shared" si="41"/>
        <v/>
      </c>
      <c r="F532" t="str">
        <f t="shared" si="42"/>
        <v>MOLELPSTETRABUENO360GR.(21)</v>
      </c>
      <c r="G532" t="s">
        <v>2384</v>
      </c>
      <c r="H532" s="2">
        <v>1.9463825945018658E-4</v>
      </c>
    </row>
    <row r="533" spans="1:8" x14ac:dyDescent="0.3">
      <c r="A533" t="s">
        <v>17</v>
      </c>
      <c r="B533" t="s">
        <v>18</v>
      </c>
      <c r="C533">
        <v>1</v>
      </c>
      <c r="D533" t="str">
        <f t="shared" si="40"/>
        <v/>
      </c>
      <c r="E533" t="str">
        <f t="shared" si="41"/>
        <v/>
      </c>
      <c r="F533" t="str">
        <f>SUBSTITUTE(UPPER(CLEAN(G533))," ","")</f>
        <v>GALLETASCRACKETSGAMESA20/135G</v>
      </c>
      <c r="G533" t="s">
        <v>2369</v>
      </c>
      <c r="H533" s="2">
        <v>1.9440204083711495E-4</v>
      </c>
    </row>
    <row r="534" spans="1:8" x14ac:dyDescent="0.3">
      <c r="A534" t="s">
        <v>1642</v>
      </c>
      <c r="B534" t="s">
        <v>1643</v>
      </c>
      <c r="C534">
        <v>12</v>
      </c>
      <c r="D534">
        <f t="shared" si="40"/>
        <v>12</v>
      </c>
      <c r="E534" t="str">
        <f t="shared" si="41"/>
        <v/>
      </c>
      <c r="F534" t="str">
        <f t="shared" ref="F534:F545" si="43">SUBSTITUTE(UPPER(CLEAN(B534))," ","")</f>
        <v>GUAYABAENTERACOSTEÑA820G(12)</v>
      </c>
      <c r="G534" t="s">
        <v>3181</v>
      </c>
      <c r="H534" s="2">
        <v>1.9366297093524138E-4</v>
      </c>
    </row>
    <row r="535" spans="1:8" x14ac:dyDescent="0.3">
      <c r="A535" t="s">
        <v>587</v>
      </c>
      <c r="B535" t="s">
        <v>588</v>
      </c>
      <c r="C535">
        <v>20</v>
      </c>
      <c r="D535">
        <f t="shared" si="40"/>
        <v>20</v>
      </c>
      <c r="E535" t="str">
        <f t="shared" si="41"/>
        <v/>
      </c>
      <c r="F535" t="str">
        <f t="shared" si="43"/>
        <v>PASTAFIORDIP.TALLARIN200GR(20)</v>
      </c>
      <c r="G535" t="s">
        <v>2654</v>
      </c>
      <c r="H535" s="2">
        <v>1.9044321088792504E-4</v>
      </c>
    </row>
    <row r="536" spans="1:8" x14ac:dyDescent="0.3">
      <c r="A536" t="s">
        <v>829</v>
      </c>
      <c r="B536" t="s">
        <v>830</v>
      </c>
      <c r="C536">
        <v>1</v>
      </c>
      <c r="D536" t="str">
        <f t="shared" si="40"/>
        <v/>
      </c>
      <c r="E536" t="str">
        <f t="shared" si="41"/>
        <v/>
      </c>
      <c r="F536" t="str">
        <f t="shared" si="43"/>
        <v>DETERGENTEROMA10KG</v>
      </c>
      <c r="G536" t="s">
        <v>2775</v>
      </c>
      <c r="H536" s="2">
        <v>1.9032865698595346E-4</v>
      </c>
    </row>
    <row r="537" spans="1:8" x14ac:dyDescent="0.3">
      <c r="A537" t="s">
        <v>1741</v>
      </c>
      <c r="B537" t="s">
        <v>1742</v>
      </c>
      <c r="C537">
        <v>12</v>
      </c>
      <c r="D537">
        <f t="shared" si="40"/>
        <v>12</v>
      </c>
      <c r="E537" t="str">
        <f t="shared" si="41"/>
        <v/>
      </c>
      <c r="F537" t="str">
        <f t="shared" si="43"/>
        <v>MAYONESACONLIMONMC390G(12)</v>
      </c>
      <c r="G537" t="s">
        <v>3230</v>
      </c>
      <c r="H537" s="2">
        <v>1.9009433906006046E-4</v>
      </c>
    </row>
    <row r="538" spans="1:8" x14ac:dyDescent="0.3">
      <c r="A538" t="s">
        <v>1193</v>
      </c>
      <c r="B538" t="s">
        <v>1194</v>
      </c>
      <c r="C538">
        <v>9</v>
      </c>
      <c r="D538">
        <f t="shared" si="40"/>
        <v>9</v>
      </c>
      <c r="E538" t="str">
        <f t="shared" si="41"/>
        <v/>
      </c>
      <c r="F538" t="str">
        <f t="shared" si="43"/>
        <v>CAJETAREALPOTOSI1200G(9)</v>
      </c>
      <c r="G538" t="s">
        <v>2957</v>
      </c>
      <c r="H538" s="2">
        <v>1.9009062898845127E-4</v>
      </c>
    </row>
    <row r="539" spans="1:8" x14ac:dyDescent="0.3">
      <c r="A539" t="s">
        <v>1775</v>
      </c>
      <c r="B539" t="s">
        <v>1776</v>
      </c>
      <c r="C539">
        <v>6</v>
      </c>
      <c r="D539">
        <f t="shared" si="40"/>
        <v>6</v>
      </c>
      <c r="E539" t="str">
        <f t="shared" si="41"/>
        <v/>
      </c>
      <c r="F539" t="str">
        <f t="shared" si="43"/>
        <v>PIMIENTANEGRAMOLIDOGRUESAMC453G(6)</v>
      </c>
      <c r="G539" t="s">
        <v>3247</v>
      </c>
      <c r="H539" s="2">
        <v>1.8998261130934825E-4</v>
      </c>
    </row>
    <row r="540" spans="1:8" x14ac:dyDescent="0.3">
      <c r="A540" t="s">
        <v>683</v>
      </c>
      <c r="B540" t="s">
        <v>684</v>
      </c>
      <c r="C540">
        <v>12</v>
      </c>
      <c r="D540">
        <f t="shared" si="40"/>
        <v>12</v>
      </c>
      <c r="E540" t="str">
        <f t="shared" si="41"/>
        <v/>
      </c>
      <c r="F540" t="str">
        <f t="shared" si="43"/>
        <v>SAZONADORP/FAJITASPRAGNA885GR(12)</v>
      </c>
      <c r="G540" t="s">
        <v>2702</v>
      </c>
      <c r="H540" s="2">
        <v>1.8853032102647717E-4</v>
      </c>
    </row>
    <row r="541" spans="1:8" x14ac:dyDescent="0.3">
      <c r="A541" t="s">
        <v>2107</v>
      </c>
      <c r="B541" t="s">
        <v>2108</v>
      </c>
      <c r="C541">
        <v>24</v>
      </c>
      <c r="D541">
        <f t="shared" si="40"/>
        <v>24</v>
      </c>
      <c r="E541" t="str">
        <f t="shared" si="41"/>
        <v/>
      </c>
      <c r="F541" t="str">
        <f t="shared" si="43"/>
        <v>PASTAYEMINAFIDEOCAMBRAY200GR(24)</v>
      </c>
      <c r="G541" t="s">
        <v>3413</v>
      </c>
      <c r="H541" s="2">
        <v>1.8786832324431838E-4</v>
      </c>
    </row>
    <row r="542" spans="1:8" x14ac:dyDescent="0.3">
      <c r="A542" t="s">
        <v>1075</v>
      </c>
      <c r="B542" t="s">
        <v>1076</v>
      </c>
      <c r="C542">
        <v>24</v>
      </c>
      <c r="D542">
        <f t="shared" si="40"/>
        <v>24</v>
      </c>
      <c r="E542" t="str">
        <f t="shared" si="41"/>
        <v/>
      </c>
      <c r="F542" t="str">
        <f t="shared" si="43"/>
        <v>MAIZPOZOLEROALFRESCO425GR(24)</v>
      </c>
      <c r="G542" t="s">
        <v>2898</v>
      </c>
      <c r="H542" s="2">
        <v>1.8764998858378506E-4</v>
      </c>
    </row>
    <row r="543" spans="1:8" x14ac:dyDescent="0.3">
      <c r="A543" t="s">
        <v>171</v>
      </c>
      <c r="B543" t="s">
        <v>172</v>
      </c>
      <c r="C543">
        <v>18</v>
      </c>
      <c r="D543">
        <f t="shared" si="40"/>
        <v>18</v>
      </c>
      <c r="E543" t="str">
        <f t="shared" si="41"/>
        <v/>
      </c>
      <c r="F543" t="str">
        <f t="shared" si="43"/>
        <v>AGUADECOCOARANDANOACAPULCOCO330M(18</v>
      </c>
      <c r="G543" t="s">
        <v>2446</v>
      </c>
      <c r="H543" s="2">
        <v>1.8660763896431525E-4</v>
      </c>
    </row>
    <row r="544" spans="1:8" x14ac:dyDescent="0.3">
      <c r="A544" t="s">
        <v>1977</v>
      </c>
      <c r="B544" t="s">
        <v>1978</v>
      </c>
      <c r="C544">
        <v>6</v>
      </c>
      <c r="D544">
        <f t="shared" si="40"/>
        <v>6</v>
      </c>
      <c r="E544" t="str">
        <f t="shared" si="41"/>
        <v/>
      </c>
      <c r="F544" t="str">
        <f t="shared" si="43"/>
        <v>KNORRCAPEADOR1.100K(6)BOTE</v>
      </c>
      <c r="G544" t="s">
        <v>3348</v>
      </c>
      <c r="H544" s="2">
        <v>1.8538467170039656E-4</v>
      </c>
    </row>
    <row r="545" spans="1:8" x14ac:dyDescent="0.3">
      <c r="A545" t="s">
        <v>493</v>
      </c>
      <c r="B545" t="s">
        <v>494</v>
      </c>
      <c r="C545">
        <v>6</v>
      </c>
      <c r="D545">
        <f t="shared" si="40"/>
        <v>6</v>
      </c>
      <c r="E545" t="str">
        <f t="shared" si="41"/>
        <v/>
      </c>
      <c r="F545" t="str">
        <f t="shared" si="43"/>
        <v>-JUGONARANJACITRUSTAMPICO3.79L(6)</v>
      </c>
      <c r="G545" t="s">
        <v>2607</v>
      </c>
      <c r="H545" s="2">
        <v>1.8294414534312075E-4</v>
      </c>
    </row>
    <row r="546" spans="1:8" x14ac:dyDescent="0.3">
      <c r="A546" t="s">
        <v>111</v>
      </c>
      <c r="B546" t="s">
        <v>112</v>
      </c>
      <c r="C546">
        <v>4</v>
      </c>
      <c r="D546">
        <f t="shared" si="40"/>
        <v>6</v>
      </c>
      <c r="E546" t="str">
        <f t="shared" si="41"/>
        <v/>
      </c>
      <c r="F546" t="str">
        <f>SUBSTITUTE(UPPER(CLEAN(G546))," ","")</f>
        <v>AGUAPURIFICADAGERBER4L(6)</v>
      </c>
      <c r="G546" t="s">
        <v>2416</v>
      </c>
      <c r="H546" s="2">
        <v>1.8140057048095896E-4</v>
      </c>
    </row>
    <row r="547" spans="1:8" x14ac:dyDescent="0.3">
      <c r="A547" t="s">
        <v>727</v>
      </c>
      <c r="B547" t="s">
        <v>728</v>
      </c>
      <c r="C547">
        <v>32</v>
      </c>
      <c r="D547">
        <f t="shared" si="40"/>
        <v>32</v>
      </c>
      <c r="E547">
        <f t="shared" si="41"/>
        <v>6</v>
      </c>
      <c r="F547" t="str">
        <f t="shared" ref="F547:F562" si="44">SUBSTITUTE(UPPER(CLEAN(B547))," ","")</f>
        <v>CHOCOLATEMILKYWAYC/6PZA.(32)</v>
      </c>
      <c r="G547" t="s">
        <v>2724</v>
      </c>
      <c r="H547" s="2">
        <v>1.8106323158859696E-4</v>
      </c>
    </row>
    <row r="548" spans="1:8" x14ac:dyDescent="0.3">
      <c r="A548" t="s">
        <v>2089</v>
      </c>
      <c r="B548" t="s">
        <v>2090</v>
      </c>
      <c r="C548">
        <v>40</v>
      </c>
      <c r="D548">
        <f t="shared" si="40"/>
        <v>40</v>
      </c>
      <c r="E548" t="str">
        <f t="shared" si="41"/>
        <v/>
      </c>
      <c r="F548" t="str">
        <f t="shared" si="44"/>
        <v>GELATINAUVAJELLO25G(40)</v>
      </c>
      <c r="G548" t="s">
        <v>3404</v>
      </c>
      <c r="H548" s="2">
        <v>1.7904327799572639E-4</v>
      </c>
    </row>
    <row r="549" spans="1:8" x14ac:dyDescent="0.3">
      <c r="A549" t="s">
        <v>551</v>
      </c>
      <c r="B549" t="s">
        <v>552</v>
      </c>
      <c r="C549">
        <v>50</v>
      </c>
      <c r="D549">
        <f t="shared" si="40"/>
        <v>50</v>
      </c>
      <c r="E549" t="str">
        <f t="shared" si="41"/>
        <v/>
      </c>
      <c r="F549" t="str">
        <f t="shared" si="44"/>
        <v>ACHIOTEANITA110GR.(50)</v>
      </c>
      <c r="G549" t="s">
        <v>2636</v>
      </c>
      <c r="H549" s="2">
        <v>1.7488009443029698E-4</v>
      </c>
    </row>
    <row r="550" spans="1:8" x14ac:dyDescent="0.3">
      <c r="A550" t="s">
        <v>2081</v>
      </c>
      <c r="B550" t="s">
        <v>2082</v>
      </c>
      <c r="C550">
        <v>40</v>
      </c>
      <c r="D550">
        <f t="shared" si="40"/>
        <v>40</v>
      </c>
      <c r="E550" t="str">
        <f t="shared" si="41"/>
        <v/>
      </c>
      <c r="F550" t="str">
        <f t="shared" si="44"/>
        <v>GELATINAFRESAJELLOLIGHT25G(40)SOBRE</v>
      </c>
      <c r="G550" t="s">
        <v>3400</v>
      </c>
      <c r="H550" s="2">
        <v>1.7483755757304978E-4</v>
      </c>
    </row>
    <row r="551" spans="1:8" x14ac:dyDescent="0.3">
      <c r="A551" t="s">
        <v>1815</v>
      </c>
      <c r="B551" t="s">
        <v>1816</v>
      </c>
      <c r="C551">
        <v>6</v>
      </c>
      <c r="D551">
        <f t="shared" si="40"/>
        <v>6</v>
      </c>
      <c r="E551" t="str">
        <f t="shared" si="41"/>
        <v/>
      </c>
      <c r="F551" t="str">
        <f t="shared" si="44"/>
        <v>CHILECHIPOTLEHERDEZ2.75K(6)</v>
      </c>
      <c r="G551" t="s">
        <v>3267</v>
      </c>
      <c r="H551" s="2">
        <v>1.7254110374695567E-4</v>
      </c>
    </row>
    <row r="552" spans="1:8" x14ac:dyDescent="0.3">
      <c r="A552" t="s">
        <v>91</v>
      </c>
      <c r="B552" t="s">
        <v>92</v>
      </c>
      <c r="C552">
        <v>1</v>
      </c>
      <c r="D552" t="str">
        <f t="shared" si="40"/>
        <v/>
      </c>
      <c r="E552" t="str">
        <f t="shared" si="41"/>
        <v/>
      </c>
      <c r="F552" t="str">
        <f t="shared" si="44"/>
        <v>ACEITEDEMAIZCRISTAL20LBIDON</v>
      </c>
      <c r="G552" t="s">
        <v>2406</v>
      </c>
      <c r="H552" s="2">
        <v>1.711307441796027E-4</v>
      </c>
    </row>
    <row r="553" spans="1:8" x14ac:dyDescent="0.3">
      <c r="A553" t="s">
        <v>1622</v>
      </c>
      <c r="B553" t="s">
        <v>1623</v>
      </c>
      <c r="C553">
        <v>12</v>
      </c>
      <c r="D553">
        <f t="shared" si="40"/>
        <v>12</v>
      </c>
      <c r="E553" t="str">
        <f t="shared" si="41"/>
        <v/>
      </c>
      <c r="F553" t="str">
        <f t="shared" si="44"/>
        <v>ATEGUAYABACOSTEÑA700G(12)</v>
      </c>
      <c r="G553" t="s">
        <v>3171</v>
      </c>
      <c r="H553" s="2">
        <v>1.6971332980982688E-4</v>
      </c>
    </row>
    <row r="554" spans="1:8" x14ac:dyDescent="0.3">
      <c r="A554" t="s">
        <v>787</v>
      </c>
      <c r="B554" t="s">
        <v>788</v>
      </c>
      <c r="C554">
        <v>40</v>
      </c>
      <c r="D554">
        <f t="shared" si="40"/>
        <v>40</v>
      </c>
      <c r="E554">
        <f t="shared" si="41"/>
        <v>25</v>
      </c>
      <c r="F554" t="str">
        <f t="shared" si="44"/>
        <v>VASOTERMICO8OZ.DART8J8C/25PZS(40)</v>
      </c>
      <c r="G554" t="s">
        <v>2754</v>
      </c>
      <c r="H554" s="2">
        <v>1.6954737896237578E-4</v>
      </c>
    </row>
    <row r="555" spans="1:8" x14ac:dyDescent="0.3">
      <c r="A555" t="s">
        <v>1506</v>
      </c>
      <c r="B555" t="s">
        <v>1507</v>
      </c>
      <c r="C555">
        <v>12</v>
      </c>
      <c r="D555">
        <f t="shared" si="40"/>
        <v>12</v>
      </c>
      <c r="E555" t="str">
        <f t="shared" si="41"/>
        <v/>
      </c>
      <c r="F555" t="str">
        <f t="shared" si="44"/>
        <v>ACEITECANOLA+OLIVACARBONELL850M(12)</v>
      </c>
      <c r="G555" t="s">
        <v>3113</v>
      </c>
      <c r="H555" s="2">
        <v>1.6943274285451834E-4</v>
      </c>
    </row>
    <row r="556" spans="1:8" x14ac:dyDescent="0.3">
      <c r="A556" t="s">
        <v>997</v>
      </c>
      <c r="B556" t="s">
        <v>998</v>
      </c>
      <c r="C556">
        <v>1</v>
      </c>
      <c r="D556" t="str">
        <f t="shared" si="40"/>
        <v/>
      </c>
      <c r="E556" t="str">
        <f t="shared" si="41"/>
        <v/>
      </c>
      <c r="F556" t="str">
        <f t="shared" si="44"/>
        <v>CLORALEX10LTSRENDIDOR</v>
      </c>
      <c r="G556" t="s">
        <v>2859</v>
      </c>
      <c r="H556" s="2">
        <v>1.6720612866998364E-4</v>
      </c>
    </row>
    <row r="557" spans="1:8" x14ac:dyDescent="0.3">
      <c r="A557" t="s">
        <v>725</v>
      </c>
      <c r="B557" t="s">
        <v>726</v>
      </c>
      <c r="C557">
        <v>32</v>
      </c>
      <c r="D557">
        <f t="shared" si="40"/>
        <v>32</v>
      </c>
      <c r="E557">
        <f t="shared" si="41"/>
        <v>6</v>
      </c>
      <c r="F557" t="str">
        <f t="shared" si="44"/>
        <v>CHOCOLATESNICKERSC/6PZA.(32)</v>
      </c>
      <c r="G557" t="s">
        <v>2723</v>
      </c>
      <c r="H557" s="2">
        <v>1.6679586575613927E-4</v>
      </c>
    </row>
    <row r="558" spans="1:8" x14ac:dyDescent="0.3">
      <c r="A558" t="s">
        <v>1372</v>
      </c>
      <c r="B558" t="s">
        <v>1373</v>
      </c>
      <c r="C558">
        <v>12</v>
      </c>
      <c r="D558">
        <f t="shared" si="40"/>
        <v>12</v>
      </c>
      <c r="E558" t="str">
        <f t="shared" si="41"/>
        <v/>
      </c>
      <c r="F558" t="str">
        <f t="shared" si="44"/>
        <v>PURETOMATEFUERTENATURAL1KGTETR(12)</v>
      </c>
      <c r="G558" t="s">
        <v>3046</v>
      </c>
      <c r="H558" s="2">
        <v>1.667721082551204E-4</v>
      </c>
    </row>
    <row r="559" spans="1:8" x14ac:dyDescent="0.3">
      <c r="A559" t="s">
        <v>1945</v>
      </c>
      <c r="B559" t="s">
        <v>1946</v>
      </c>
      <c r="C559">
        <v>4</v>
      </c>
      <c r="D559">
        <f t="shared" si="40"/>
        <v>4</v>
      </c>
      <c r="E559" t="str">
        <f t="shared" si="41"/>
        <v/>
      </c>
      <c r="F559" t="str">
        <f t="shared" si="44"/>
        <v>%ADEREZORANCHHELLMANN´S3.7K(4)</v>
      </c>
      <c r="G559" t="s">
        <v>3332</v>
      </c>
      <c r="H559" s="2">
        <v>1.6630542544098862E-4</v>
      </c>
    </row>
    <row r="560" spans="1:8" x14ac:dyDescent="0.3">
      <c r="A560" t="s">
        <v>1849</v>
      </c>
      <c r="B560" t="s">
        <v>1850</v>
      </c>
      <c r="C560">
        <v>12</v>
      </c>
      <c r="D560">
        <f t="shared" si="40"/>
        <v>12</v>
      </c>
      <c r="E560" t="str">
        <f t="shared" si="41"/>
        <v/>
      </c>
      <c r="F560" t="str">
        <f t="shared" si="44"/>
        <v>PALMITOENTEROS.MIGUEL420G(12)</v>
      </c>
      <c r="G560" t="s">
        <v>3284</v>
      </c>
      <c r="H560" s="2">
        <v>1.6525721819015291E-4</v>
      </c>
    </row>
    <row r="561" spans="1:8" x14ac:dyDescent="0.3">
      <c r="A561" t="s">
        <v>2137</v>
      </c>
      <c r="B561" t="s">
        <v>2138</v>
      </c>
      <c r="C561">
        <v>12</v>
      </c>
      <c r="D561">
        <f t="shared" si="40"/>
        <v>12</v>
      </c>
      <c r="E561" t="str">
        <f t="shared" si="41"/>
        <v/>
      </c>
      <c r="F561" t="str">
        <f t="shared" si="44"/>
        <v>CAFESOLUBLEINTERNACIONAL50G(12)</v>
      </c>
      <c r="G561" t="s">
        <v>3428</v>
      </c>
      <c r="H561" s="2">
        <v>1.6495691663639183E-4</v>
      </c>
    </row>
    <row r="562" spans="1:8" x14ac:dyDescent="0.3">
      <c r="A562" t="s">
        <v>1777</v>
      </c>
      <c r="B562" t="s">
        <v>1778</v>
      </c>
      <c r="C562">
        <v>12</v>
      </c>
      <c r="D562">
        <f t="shared" si="40"/>
        <v>12</v>
      </c>
      <c r="E562" t="str">
        <f t="shared" si="41"/>
        <v/>
      </c>
      <c r="F562" t="str">
        <f t="shared" si="44"/>
        <v>FRIJOLESBAYOSENTEROSCOSTEÑA560G(12)</v>
      </c>
      <c r="G562" t="s">
        <v>3248</v>
      </c>
      <c r="H562" s="2">
        <v>1.6435690905436628E-4</v>
      </c>
    </row>
    <row r="563" spans="1:8" x14ac:dyDescent="0.3">
      <c r="A563" t="s">
        <v>883</v>
      </c>
      <c r="B563" t="s">
        <v>884</v>
      </c>
      <c r="C563">
        <v>50</v>
      </c>
      <c r="D563">
        <f t="shared" si="40"/>
        <v>50</v>
      </c>
      <c r="E563" t="str">
        <f t="shared" si="41"/>
        <v/>
      </c>
      <c r="F563" t="str">
        <f>SUBSTITUTE(UPPER(CLEAN(G563))," ","")</f>
        <v>PAPELENVOLTURA1KG(50)</v>
      </c>
      <c r="G563" t="s">
        <v>2802</v>
      </c>
      <c r="H563" s="2">
        <v>1.6231757681408362E-4</v>
      </c>
    </row>
    <row r="564" spans="1:8" x14ac:dyDescent="0.3">
      <c r="A564" t="s">
        <v>1484</v>
      </c>
      <c r="B564" t="s">
        <v>1485</v>
      </c>
      <c r="C564">
        <v>22</v>
      </c>
      <c r="D564">
        <f t="shared" si="40"/>
        <v>22</v>
      </c>
      <c r="E564" t="str">
        <f t="shared" si="41"/>
        <v/>
      </c>
      <c r="F564" t="str">
        <f t="shared" ref="F564:F595" si="45">SUBSTITUTE(UPPER(CLEAN(B564))," ","")</f>
        <v>ARROZIMPEGABLEVERDEVALLE750G(22)</v>
      </c>
      <c r="G564" t="s">
        <v>3102</v>
      </c>
      <c r="H564" s="2">
        <v>1.5949327029590176E-4</v>
      </c>
    </row>
    <row r="565" spans="1:8" x14ac:dyDescent="0.3">
      <c r="A565" t="s">
        <v>1011</v>
      </c>
      <c r="B565" t="s">
        <v>1012</v>
      </c>
      <c r="C565">
        <v>24</v>
      </c>
      <c r="D565">
        <f t="shared" si="40"/>
        <v>24</v>
      </c>
      <c r="E565" t="str">
        <f t="shared" si="41"/>
        <v/>
      </c>
      <c r="F565" t="str">
        <f t="shared" si="45"/>
        <v>SALSACATSUPDELMONTE220G(24)</v>
      </c>
      <c r="G565" t="s">
        <v>2866</v>
      </c>
      <c r="H565" s="2">
        <v>1.5926112823230661E-4</v>
      </c>
    </row>
    <row r="566" spans="1:8" x14ac:dyDescent="0.3">
      <c r="A566" t="s">
        <v>567</v>
      </c>
      <c r="B566" t="s">
        <v>568</v>
      </c>
      <c r="C566">
        <v>1</v>
      </c>
      <c r="D566" t="str">
        <f t="shared" si="40"/>
        <v/>
      </c>
      <c r="E566" t="str">
        <f t="shared" si="41"/>
        <v/>
      </c>
      <c r="F566" t="str">
        <f t="shared" si="45"/>
        <v>PASTALAMODERNACODOINTEGRALC/20/200G</v>
      </c>
      <c r="G566" t="s">
        <v>2644</v>
      </c>
      <c r="H566" s="2">
        <v>1.5903752086459178E-4</v>
      </c>
    </row>
    <row r="567" spans="1:8" x14ac:dyDescent="0.3">
      <c r="A567" t="s">
        <v>49</v>
      </c>
      <c r="B567" t="s">
        <v>50</v>
      </c>
      <c r="C567">
        <v>2</v>
      </c>
      <c r="D567">
        <f t="shared" si="40"/>
        <v>2</v>
      </c>
      <c r="E567" t="str">
        <f t="shared" si="41"/>
        <v/>
      </c>
      <c r="F567" t="str">
        <f t="shared" si="45"/>
        <v>SALSADEMIGLACEAJI-SAZON4KG.(2)</v>
      </c>
      <c r="G567" t="s">
        <v>2385</v>
      </c>
      <c r="H567" s="2">
        <v>1.5659863664235088E-4</v>
      </c>
    </row>
    <row r="568" spans="1:8" x14ac:dyDescent="0.3">
      <c r="A568" t="s">
        <v>1833</v>
      </c>
      <c r="B568" t="s">
        <v>1834</v>
      </c>
      <c r="C568">
        <v>12</v>
      </c>
      <c r="D568">
        <f t="shared" si="40"/>
        <v>12</v>
      </c>
      <c r="E568" t="str">
        <f t="shared" si="41"/>
        <v/>
      </c>
      <c r="F568" t="str">
        <f t="shared" si="45"/>
        <v>CORAZONESALCACHOFASANMIGUEL400GR(12)</v>
      </c>
      <c r="G568" t="s">
        <v>3276</v>
      </c>
      <c r="H568" s="2">
        <v>1.5562933108185012E-4</v>
      </c>
    </row>
    <row r="569" spans="1:8" x14ac:dyDescent="0.3">
      <c r="A569" t="s">
        <v>1755</v>
      </c>
      <c r="B569" t="s">
        <v>1756</v>
      </c>
      <c r="C569">
        <v>12</v>
      </c>
      <c r="D569">
        <f t="shared" si="40"/>
        <v>12</v>
      </c>
      <c r="E569" t="str">
        <f t="shared" si="41"/>
        <v/>
      </c>
      <c r="F569" t="str">
        <f t="shared" si="45"/>
        <v>FRIJOLESBAYOSREFRITOSCOSTEÑA580G(12</v>
      </c>
      <c r="G569" t="s">
        <v>3237</v>
      </c>
      <c r="H569" s="2">
        <v>1.548459183038078E-4</v>
      </c>
    </row>
    <row r="570" spans="1:8" x14ac:dyDescent="0.3">
      <c r="A570" t="s">
        <v>23</v>
      </c>
      <c r="B570" t="s">
        <v>24</v>
      </c>
      <c r="C570">
        <v>24</v>
      </c>
      <c r="D570">
        <f t="shared" si="40"/>
        <v>24</v>
      </c>
      <c r="E570" t="str">
        <f t="shared" si="41"/>
        <v/>
      </c>
      <c r="F570" t="str">
        <f t="shared" si="45"/>
        <v>-GALLETASHABANERABRAN270GR(24)</v>
      </c>
      <c r="G570" t="s">
        <v>2372</v>
      </c>
      <c r="H570" s="2">
        <v>1.5191647710331675E-4</v>
      </c>
    </row>
    <row r="571" spans="1:8" x14ac:dyDescent="0.3">
      <c r="A571" t="s">
        <v>407</v>
      </c>
      <c r="B571" t="s">
        <v>408</v>
      </c>
      <c r="C571">
        <v>12</v>
      </c>
      <c r="D571" t="str">
        <f t="shared" si="40"/>
        <v/>
      </c>
      <c r="E571" t="str">
        <f t="shared" si="41"/>
        <v/>
      </c>
      <c r="F571" t="str">
        <f t="shared" si="45"/>
        <v>GALLETASOREONABISCO4X63G(252G)(12)</v>
      </c>
      <c r="G571" t="s">
        <v>2564</v>
      </c>
      <c r="H571" s="2">
        <v>1.5048495733693782E-4</v>
      </c>
    </row>
    <row r="572" spans="1:8" x14ac:dyDescent="0.3">
      <c r="A572" t="s">
        <v>135</v>
      </c>
      <c r="B572" t="s">
        <v>136</v>
      </c>
      <c r="C572">
        <v>10</v>
      </c>
      <c r="D572">
        <f t="shared" si="40"/>
        <v>10</v>
      </c>
      <c r="E572" t="str">
        <f t="shared" si="41"/>
        <v/>
      </c>
      <c r="F572" t="str">
        <f t="shared" si="45"/>
        <v>ARROZSCHETTINO1KG(10)</v>
      </c>
      <c r="G572" t="s">
        <v>2428</v>
      </c>
      <c r="H572" s="2">
        <v>1.4898332999223186E-4</v>
      </c>
    </row>
    <row r="573" spans="1:8" x14ac:dyDescent="0.3">
      <c r="A573" t="s">
        <v>491</v>
      </c>
      <c r="B573" t="s">
        <v>492</v>
      </c>
      <c r="C573">
        <v>12</v>
      </c>
      <c r="D573">
        <f t="shared" si="40"/>
        <v>12</v>
      </c>
      <c r="E573" t="str">
        <f t="shared" si="41"/>
        <v/>
      </c>
      <c r="F573" t="str">
        <f t="shared" si="45"/>
        <v>SUEROLIMA-LIMONELECTROLIT625ML(12)</v>
      </c>
      <c r="G573" t="s">
        <v>2606</v>
      </c>
      <c r="H573" s="2">
        <v>1.4840229525187981E-4</v>
      </c>
    </row>
    <row r="574" spans="1:8" x14ac:dyDescent="0.3">
      <c r="A574" t="s">
        <v>1309</v>
      </c>
      <c r="B574" t="s">
        <v>1310</v>
      </c>
      <c r="C574">
        <v>16</v>
      </c>
      <c r="D574">
        <f t="shared" si="40"/>
        <v>16</v>
      </c>
      <c r="E574" t="str">
        <f t="shared" si="41"/>
        <v/>
      </c>
      <c r="F574" t="str">
        <f t="shared" si="45"/>
        <v>MOSTAZAHEINZ368GR13OZ(16)</v>
      </c>
      <c r="G574" t="s">
        <v>3015</v>
      </c>
      <c r="H574" s="2">
        <v>1.472335366083668E-4</v>
      </c>
    </row>
    <row r="575" spans="1:8" x14ac:dyDescent="0.3">
      <c r="A575" t="s">
        <v>1430</v>
      </c>
      <c r="B575" t="s">
        <v>1431</v>
      </c>
      <c r="C575">
        <v>4</v>
      </c>
      <c r="D575">
        <f t="shared" si="40"/>
        <v>4</v>
      </c>
      <c r="E575" t="str">
        <f t="shared" si="41"/>
        <v/>
      </c>
      <c r="F575" t="str">
        <f t="shared" si="45"/>
        <v>VINAGREDECAÑACOSTEÑA3.75LT(4)</v>
      </c>
      <c r="G575" t="s">
        <v>3075</v>
      </c>
      <c r="H575" s="2">
        <v>1.4607525567633987E-4</v>
      </c>
    </row>
    <row r="576" spans="1:8" x14ac:dyDescent="0.3">
      <c r="A576" t="s">
        <v>507</v>
      </c>
      <c r="B576" t="s">
        <v>508</v>
      </c>
      <c r="C576">
        <v>6</v>
      </c>
      <c r="D576">
        <f t="shared" si="40"/>
        <v>6</v>
      </c>
      <c r="E576" t="str">
        <f t="shared" si="41"/>
        <v/>
      </c>
      <c r="F576" t="str">
        <f t="shared" si="45"/>
        <v>LECHEDECOCOVAINILLACALAHUA1L(6)</v>
      </c>
      <c r="G576" t="s">
        <v>2614</v>
      </c>
      <c r="H576" s="2">
        <v>1.4554289035939125E-4</v>
      </c>
    </row>
    <row r="577" spans="1:8" x14ac:dyDescent="0.3">
      <c r="A577" t="s">
        <v>1149</v>
      </c>
      <c r="B577" t="s">
        <v>1150</v>
      </c>
      <c r="C577">
        <v>36</v>
      </c>
      <c r="D577">
        <f t="shared" si="40"/>
        <v>36</v>
      </c>
      <c r="E577" t="str">
        <f t="shared" si="41"/>
        <v/>
      </c>
      <c r="F577" t="str">
        <f t="shared" si="45"/>
        <v>EMPANIZADORC.FLAKESKELL.350(36)</v>
      </c>
      <c r="G577" t="s">
        <v>2935</v>
      </c>
      <c r="H577" s="2">
        <v>1.4527648712534409E-4</v>
      </c>
    </row>
    <row r="578" spans="1:8" x14ac:dyDescent="0.3">
      <c r="A578" t="s">
        <v>395</v>
      </c>
      <c r="B578" t="s">
        <v>396</v>
      </c>
      <c r="C578">
        <v>6</v>
      </c>
      <c r="D578">
        <f t="shared" ref="D578:D641" si="46">IFERROR(VALUE(IFERROR(
    MID(G578,FIND("(",G578)+1,FIND(")",G578)-FIND("(",G578)-1),
    IFERROR(
        MID(G578,FIND("(",G578)+1,LEN(G578)-FIND("(",G578)),
        ""
    )
)),"")</f>
        <v>6</v>
      </c>
      <c r="E578" t="str">
        <f t="shared" ref="E578:E641" si="47">IFERROR(VALUE(MID(SUBSTITUTE(G578," ",""),
FIND("/",SUBSTITUTE(G578," ",""))+1,
MIN(IFERROR(FIND("PZS",SUBSTITUTE(G578," ","")),999),
    IFERROR(FIND("PZA",SUBSTITUTE(G578," ","")),999))
-FIND("/",SUBSTITUTE(G578," ",""))-1)),"")</f>
        <v/>
      </c>
      <c r="F578" t="str">
        <f t="shared" si="45"/>
        <v>CEREZAMARASCHINODIANA2.1K(6)</v>
      </c>
      <c r="G578" t="s">
        <v>2558</v>
      </c>
      <c r="H578" s="2">
        <v>1.4458289002410309E-4</v>
      </c>
    </row>
    <row r="579" spans="1:8" x14ac:dyDescent="0.3">
      <c r="A579" t="s">
        <v>1007</v>
      </c>
      <c r="B579" t="s">
        <v>1008</v>
      </c>
      <c r="C579">
        <v>24</v>
      </c>
      <c r="D579">
        <f t="shared" si="46"/>
        <v>24</v>
      </c>
      <c r="E579" t="str">
        <f t="shared" si="47"/>
        <v/>
      </c>
      <c r="F579" t="str">
        <f t="shared" si="45"/>
        <v>SALSAHUNT'STRADI.TETRA360*(24)</v>
      </c>
      <c r="G579" t="s">
        <v>2864</v>
      </c>
      <c r="H579" s="2">
        <v>1.4265385214395836E-4</v>
      </c>
    </row>
    <row r="580" spans="1:8" x14ac:dyDescent="0.3">
      <c r="A580" t="s">
        <v>927</v>
      </c>
      <c r="B580" t="s">
        <v>928</v>
      </c>
      <c r="C580">
        <v>12</v>
      </c>
      <c r="D580">
        <f t="shared" si="46"/>
        <v>12</v>
      </c>
      <c r="E580" t="str">
        <f t="shared" si="47"/>
        <v/>
      </c>
      <c r="F580" t="str">
        <f t="shared" si="45"/>
        <v>PALILLOESTUCHADOPOLYKINGC/1000(12)</v>
      </c>
      <c r="G580" t="s">
        <v>2824</v>
      </c>
      <c r="H580" s="2">
        <v>1.4265323016193602E-4</v>
      </c>
    </row>
    <row r="581" spans="1:8" x14ac:dyDescent="0.3">
      <c r="A581" t="s">
        <v>827</v>
      </c>
      <c r="B581" t="s">
        <v>828</v>
      </c>
      <c r="C581">
        <v>10</v>
      </c>
      <c r="D581">
        <f t="shared" si="46"/>
        <v>10</v>
      </c>
      <c r="E581" t="str">
        <f t="shared" si="47"/>
        <v/>
      </c>
      <c r="F581" t="str">
        <f t="shared" si="45"/>
        <v>DETERGENTEROMA1KG(10)</v>
      </c>
      <c r="G581" t="s">
        <v>2774</v>
      </c>
      <c r="H581" s="2">
        <v>1.4261396694722282E-4</v>
      </c>
    </row>
    <row r="582" spans="1:8" x14ac:dyDescent="0.3">
      <c r="A582" t="s">
        <v>1297</v>
      </c>
      <c r="B582" t="s">
        <v>1298</v>
      </c>
      <c r="C582">
        <v>12</v>
      </c>
      <c r="D582">
        <f t="shared" si="46"/>
        <v>12</v>
      </c>
      <c r="E582" t="str">
        <f t="shared" si="47"/>
        <v/>
      </c>
      <c r="F582" t="str">
        <f t="shared" si="45"/>
        <v>CAJETACORONADO594GR(12)</v>
      </c>
      <c r="G582" t="s">
        <v>3009</v>
      </c>
      <c r="H582" s="2">
        <v>1.4170053474689054E-4</v>
      </c>
    </row>
    <row r="583" spans="1:8" x14ac:dyDescent="0.3">
      <c r="A583" t="s">
        <v>1807</v>
      </c>
      <c r="B583" t="s">
        <v>1808</v>
      </c>
      <c r="C583">
        <v>1</v>
      </c>
      <c r="D583" t="str">
        <f t="shared" si="46"/>
        <v/>
      </c>
      <c r="E583" t="str">
        <f t="shared" si="47"/>
        <v/>
      </c>
      <c r="F583" t="str">
        <f t="shared" si="45"/>
        <v>%CARNEMOLIDAKNORR25K</v>
      </c>
      <c r="G583" t="s">
        <v>3263</v>
      </c>
      <c r="H583" s="2">
        <v>1.4088855751272697E-4</v>
      </c>
    </row>
    <row r="584" spans="1:8" x14ac:dyDescent="0.3">
      <c r="A584" t="s">
        <v>373</v>
      </c>
      <c r="B584" t="s">
        <v>374</v>
      </c>
      <c r="C584">
        <v>12</v>
      </c>
      <c r="D584">
        <f t="shared" si="46"/>
        <v>12</v>
      </c>
      <c r="E584" t="str">
        <f t="shared" si="47"/>
        <v/>
      </c>
      <c r="F584" t="str">
        <f t="shared" si="45"/>
        <v>COMINOMOLIDOPRAGNA569G(12)</v>
      </c>
      <c r="G584" t="s">
        <v>2547</v>
      </c>
      <c r="H584" s="2">
        <v>1.4044633713017023E-4</v>
      </c>
    </row>
    <row r="585" spans="1:8" x14ac:dyDescent="0.3">
      <c r="A585" t="s">
        <v>99</v>
      </c>
      <c r="B585" t="s">
        <v>100</v>
      </c>
      <c r="C585">
        <v>1</v>
      </c>
      <c r="D585" t="str">
        <f t="shared" si="46"/>
        <v/>
      </c>
      <c r="E585" t="str">
        <f t="shared" si="47"/>
        <v/>
      </c>
      <c r="F585" t="str">
        <f t="shared" si="45"/>
        <v>-ACEITEOLEINBIDON20LT</v>
      </c>
      <c r="G585" t="s">
        <v>2410</v>
      </c>
      <c r="H585" s="2">
        <v>1.4031200306303029E-4</v>
      </c>
    </row>
    <row r="586" spans="1:8" x14ac:dyDescent="0.3">
      <c r="A586" t="s">
        <v>281</v>
      </c>
      <c r="B586" t="s">
        <v>282</v>
      </c>
      <c r="C586">
        <v>12</v>
      </c>
      <c r="D586">
        <f t="shared" si="46"/>
        <v>12</v>
      </c>
      <c r="E586" t="str">
        <f t="shared" si="47"/>
        <v/>
      </c>
      <c r="F586" t="str">
        <f t="shared" si="45"/>
        <v>ZUKOMANGOC/8/13G(12)</v>
      </c>
      <c r="G586" t="s">
        <v>2501</v>
      </c>
      <c r="H586" s="2">
        <v>1.4020435483772987E-4</v>
      </c>
    </row>
    <row r="587" spans="1:8" x14ac:dyDescent="0.3">
      <c r="A587" t="s">
        <v>681</v>
      </c>
      <c r="B587" t="s">
        <v>682</v>
      </c>
      <c r="C587">
        <v>12</v>
      </c>
      <c r="D587" t="str">
        <f t="shared" si="46"/>
        <v/>
      </c>
      <c r="E587" t="str">
        <f t="shared" si="47"/>
        <v/>
      </c>
      <c r="F587" t="str">
        <f t="shared" si="45"/>
        <v>SAZONFINASHIERBAS(ITAL)PRAGN275G(12)</v>
      </c>
      <c r="G587" t="s">
        <v>2701</v>
      </c>
      <c r="H587" s="2">
        <v>1.4017192503656278E-4</v>
      </c>
    </row>
    <row r="588" spans="1:8" x14ac:dyDescent="0.3">
      <c r="A588" t="s">
        <v>311</v>
      </c>
      <c r="B588" t="s">
        <v>312</v>
      </c>
      <c r="C588">
        <v>4</v>
      </c>
      <c r="D588">
        <f t="shared" si="46"/>
        <v>4</v>
      </c>
      <c r="E588" t="str">
        <f t="shared" si="47"/>
        <v/>
      </c>
      <c r="F588" t="str">
        <f t="shared" si="45"/>
        <v>CALDODEPOLLOPREMAJI-SAZON2.7KG(4)</v>
      </c>
      <c r="G588" t="s">
        <v>2516</v>
      </c>
      <c r="H588" s="2">
        <v>1.3996378239953771E-4</v>
      </c>
    </row>
    <row r="589" spans="1:8" x14ac:dyDescent="0.3">
      <c r="A589" t="s">
        <v>1301</v>
      </c>
      <c r="B589" t="s">
        <v>1302</v>
      </c>
      <c r="C589">
        <v>24</v>
      </c>
      <c r="D589">
        <f t="shared" si="46"/>
        <v>24</v>
      </c>
      <c r="E589" t="str">
        <f t="shared" si="47"/>
        <v/>
      </c>
      <c r="F589" t="str">
        <f t="shared" si="45"/>
        <v>MAYONESAHEINZ390G(24)</v>
      </c>
      <c r="G589" t="s">
        <v>3011</v>
      </c>
      <c r="H589" s="2">
        <v>1.3850795726357384E-4</v>
      </c>
    </row>
    <row r="590" spans="1:8" x14ac:dyDescent="0.3">
      <c r="A590" t="s">
        <v>2017</v>
      </c>
      <c r="B590" t="s">
        <v>2018</v>
      </c>
      <c r="C590">
        <v>25</v>
      </c>
      <c r="D590">
        <f t="shared" si="46"/>
        <v>25</v>
      </c>
      <c r="E590" t="str">
        <f t="shared" si="47"/>
        <v/>
      </c>
      <c r="F590" t="str">
        <f t="shared" si="45"/>
        <v>PASTACAPELINNINO.1BARILLA500GR(25)</v>
      </c>
      <c r="G590" t="s">
        <v>3368</v>
      </c>
      <c r="H590" s="2">
        <v>1.3843130027499221E-4</v>
      </c>
    </row>
    <row r="591" spans="1:8" x14ac:dyDescent="0.3">
      <c r="A591" t="s">
        <v>315</v>
      </c>
      <c r="B591" t="s">
        <v>316</v>
      </c>
      <c r="C591">
        <v>4</v>
      </c>
      <c r="D591">
        <f t="shared" si="46"/>
        <v>4</v>
      </c>
      <c r="E591" t="str">
        <f t="shared" si="47"/>
        <v/>
      </c>
      <c r="F591" t="str">
        <f t="shared" si="45"/>
        <v>SAZONADORECPOLLOAJI-SAZON2.7KG(4)</v>
      </c>
      <c r="G591" t="s">
        <v>2518</v>
      </c>
      <c r="H591" s="2">
        <v>1.3730868090806983E-4</v>
      </c>
    </row>
    <row r="592" spans="1:8" x14ac:dyDescent="0.3">
      <c r="A592" t="s">
        <v>1646</v>
      </c>
      <c r="B592" t="s">
        <v>1647</v>
      </c>
      <c r="C592">
        <v>12</v>
      </c>
      <c r="D592">
        <f t="shared" si="46"/>
        <v>12</v>
      </c>
      <c r="E592" t="str">
        <f t="shared" si="47"/>
        <v/>
      </c>
      <c r="F592" t="str">
        <f t="shared" si="45"/>
        <v>MOSTAZAMC430GR(12)</v>
      </c>
      <c r="G592" t="s">
        <v>3183</v>
      </c>
      <c r="H592" s="2">
        <v>1.3673120034914067E-4</v>
      </c>
    </row>
    <row r="593" spans="1:8" x14ac:dyDescent="0.3">
      <c r="A593" t="s">
        <v>313</v>
      </c>
      <c r="B593" t="s">
        <v>314</v>
      </c>
      <c r="C593">
        <v>1</v>
      </c>
      <c r="D593" t="str">
        <f t="shared" si="46"/>
        <v/>
      </c>
      <c r="E593" t="str">
        <f t="shared" si="47"/>
        <v/>
      </c>
      <c r="F593" t="str">
        <f t="shared" si="45"/>
        <v>SAZONADORECPOLLOAJI-SAZON10KG</v>
      </c>
      <c r="G593" t="s">
        <v>2517</v>
      </c>
      <c r="H593" s="2">
        <v>1.356842242547548E-4</v>
      </c>
    </row>
    <row r="594" spans="1:8" x14ac:dyDescent="0.3">
      <c r="A594" t="s">
        <v>2287</v>
      </c>
      <c r="B594" t="s">
        <v>2288</v>
      </c>
      <c r="D594">
        <f t="shared" si="46"/>
        <v>12</v>
      </c>
      <c r="E594" t="str">
        <f t="shared" si="47"/>
        <v/>
      </c>
      <c r="F594" t="str">
        <f t="shared" si="45"/>
        <v>AZUCARMASCABADOMETCO1.4KG(12)</v>
      </c>
      <c r="G594" t="s">
        <v>3503</v>
      </c>
      <c r="H594" s="2">
        <v>1.3526902551908037E-4</v>
      </c>
    </row>
    <row r="595" spans="1:8" x14ac:dyDescent="0.3">
      <c r="A595" t="s">
        <v>2253</v>
      </c>
      <c r="B595" t="s">
        <v>2254</v>
      </c>
      <c r="C595">
        <v>12</v>
      </c>
      <c r="D595">
        <f t="shared" si="46"/>
        <v>12</v>
      </c>
      <c r="E595" t="str">
        <f t="shared" si="47"/>
        <v/>
      </c>
      <c r="F595" t="str">
        <f t="shared" si="45"/>
        <v>#FABULOSOPASIONDEFRUTAS1LT(12)</v>
      </c>
      <c r="G595" t="s">
        <v>3486</v>
      </c>
      <c r="H595" s="2">
        <v>1.3502678461428045E-4</v>
      </c>
    </row>
    <row r="596" spans="1:8" x14ac:dyDescent="0.3">
      <c r="A596" t="s">
        <v>1570</v>
      </c>
      <c r="B596" t="s">
        <v>1571</v>
      </c>
      <c r="C596">
        <v>24</v>
      </c>
      <c r="D596">
        <f t="shared" si="46"/>
        <v>24</v>
      </c>
      <c r="E596" t="str">
        <f t="shared" si="47"/>
        <v/>
      </c>
      <c r="F596" t="str">
        <f t="shared" ref="F596:F619" si="48">SUBSTITUTE(UPPER(CLEAN(B596))," ","")</f>
        <v>MANTECAINCA500G(24)</v>
      </c>
      <c r="G596" t="s">
        <v>3145</v>
      </c>
      <c r="H596" s="2">
        <v>1.3487431048191817E-4</v>
      </c>
    </row>
    <row r="597" spans="1:8" x14ac:dyDescent="0.3">
      <c r="A597" t="s">
        <v>1103</v>
      </c>
      <c r="B597" t="s">
        <v>1104</v>
      </c>
      <c r="C597">
        <v>12</v>
      </c>
      <c r="D597">
        <f t="shared" si="46"/>
        <v>12</v>
      </c>
      <c r="E597" t="str">
        <f t="shared" si="47"/>
        <v/>
      </c>
      <c r="F597" t="str">
        <f t="shared" si="48"/>
        <v>NECTARDURAZNOJUMEX960ML(12)TETRA</v>
      </c>
      <c r="G597" t="s">
        <v>2912</v>
      </c>
      <c r="H597" s="2">
        <v>1.3473306851127293E-4</v>
      </c>
    </row>
    <row r="598" spans="1:8" x14ac:dyDescent="0.3">
      <c r="A598" t="s">
        <v>1981</v>
      </c>
      <c r="B598" t="s">
        <v>1982</v>
      </c>
      <c r="C598">
        <v>12</v>
      </c>
      <c r="D598">
        <f t="shared" si="46"/>
        <v>12</v>
      </c>
      <c r="E598" t="str">
        <f t="shared" si="47"/>
        <v/>
      </c>
      <c r="F598" t="str">
        <f t="shared" si="48"/>
        <v>ARROZC/LECHECARTEDOR575GR(12</v>
      </c>
      <c r="G598" t="s">
        <v>3350</v>
      </c>
      <c r="H598" s="2">
        <v>1.3344600653178145E-4</v>
      </c>
    </row>
    <row r="599" spans="1:8" x14ac:dyDescent="0.3">
      <c r="A599" t="s">
        <v>1560</v>
      </c>
      <c r="B599" t="s">
        <v>1561</v>
      </c>
      <c r="C599">
        <v>12</v>
      </c>
      <c r="D599">
        <f t="shared" si="46"/>
        <v>12</v>
      </c>
      <c r="E599" t="str">
        <f t="shared" si="47"/>
        <v/>
      </c>
      <c r="F599" t="str">
        <f t="shared" si="48"/>
        <v>CREMACACAHUATEALADINO340G(12)</v>
      </c>
      <c r="G599" t="s">
        <v>3140</v>
      </c>
      <c r="H599" s="2">
        <v>1.3281591534526364E-4</v>
      </c>
    </row>
    <row r="600" spans="1:8" x14ac:dyDescent="0.3">
      <c r="A600" t="s">
        <v>639</v>
      </c>
      <c r="B600" t="s">
        <v>640</v>
      </c>
      <c r="C600">
        <v>18</v>
      </c>
      <c r="D600">
        <f t="shared" si="46"/>
        <v>18</v>
      </c>
      <c r="E600" t="str">
        <f t="shared" si="47"/>
        <v/>
      </c>
      <c r="F600" t="str">
        <f t="shared" si="48"/>
        <v>SALDEGRANOLAFINABOLSA1KG(18)</v>
      </c>
      <c r="G600" t="s">
        <v>2680</v>
      </c>
      <c r="H600" s="2">
        <v>1.3219251664953676E-4</v>
      </c>
    </row>
    <row r="601" spans="1:8" x14ac:dyDescent="0.3">
      <c r="A601" t="s">
        <v>1285</v>
      </c>
      <c r="B601" t="s">
        <v>1286</v>
      </c>
      <c r="C601">
        <v>12</v>
      </c>
      <c r="D601">
        <f t="shared" si="46"/>
        <v>12</v>
      </c>
      <c r="E601" t="str">
        <f t="shared" si="47"/>
        <v/>
      </c>
      <c r="F601" t="str">
        <f t="shared" si="48"/>
        <v>SALSAKETCHUPHEINZ40OZ1.13K(12)</v>
      </c>
      <c r="G601" t="s">
        <v>3003</v>
      </c>
      <c r="H601" s="2">
        <v>1.3135215267658063E-4</v>
      </c>
    </row>
    <row r="602" spans="1:8" x14ac:dyDescent="0.3">
      <c r="A602" t="s">
        <v>237</v>
      </c>
      <c r="B602" t="s">
        <v>238</v>
      </c>
      <c r="C602">
        <v>12</v>
      </c>
      <c r="D602">
        <f t="shared" si="46"/>
        <v>12</v>
      </c>
      <c r="E602" t="str">
        <f t="shared" si="47"/>
        <v/>
      </c>
      <c r="F602" t="str">
        <f t="shared" si="48"/>
        <v>-CONCENTRADOTEDURAZNOFRUTIVA1L(12)</v>
      </c>
      <c r="G602" t="s">
        <v>2479</v>
      </c>
      <c r="H602" s="2">
        <v>1.3081508936012854E-4</v>
      </c>
    </row>
    <row r="603" spans="1:8" x14ac:dyDescent="0.3">
      <c r="A603" t="s">
        <v>2261</v>
      </c>
      <c r="B603" t="s">
        <v>2262</v>
      </c>
      <c r="C603">
        <v>12</v>
      </c>
      <c r="D603">
        <f t="shared" si="46"/>
        <v>12</v>
      </c>
      <c r="E603" t="str">
        <f t="shared" si="47"/>
        <v/>
      </c>
      <c r="F603" t="str">
        <f t="shared" si="48"/>
        <v>#FABULOSOENERGIANARANJA1LTO(12</v>
      </c>
      <c r="G603" t="s">
        <v>3490</v>
      </c>
      <c r="H603" s="2">
        <v>1.3074681737190651E-4</v>
      </c>
    </row>
    <row r="604" spans="1:8" x14ac:dyDescent="0.3">
      <c r="A604" t="s">
        <v>2327</v>
      </c>
      <c r="B604" t="s">
        <v>2328</v>
      </c>
      <c r="C604">
        <v>1</v>
      </c>
      <c r="D604" t="str">
        <f t="shared" si="46"/>
        <v/>
      </c>
      <c r="E604" t="str">
        <f t="shared" si="47"/>
        <v/>
      </c>
      <c r="F604" t="str">
        <f t="shared" si="48"/>
        <v>SALSABOTANERAPORCC/840/10GRS</v>
      </c>
      <c r="G604" t="s">
        <v>3523</v>
      </c>
      <c r="H604" s="2">
        <v>1.2994929616443935E-4</v>
      </c>
    </row>
    <row r="605" spans="1:8" x14ac:dyDescent="0.3">
      <c r="A605" t="s">
        <v>317</v>
      </c>
      <c r="B605" t="s">
        <v>318</v>
      </c>
      <c r="C605">
        <v>4</v>
      </c>
      <c r="D605">
        <f t="shared" si="46"/>
        <v>4</v>
      </c>
      <c r="E605" t="str">
        <f t="shared" si="47"/>
        <v/>
      </c>
      <c r="F605" t="str">
        <f t="shared" si="48"/>
        <v>SAZONADORUNIVPOLVOAJI-SAZON2.7KG(4)</v>
      </c>
      <c r="G605" t="s">
        <v>2519</v>
      </c>
      <c r="H605" s="2">
        <v>1.2971122872455315E-4</v>
      </c>
    </row>
    <row r="606" spans="1:8" x14ac:dyDescent="0.3">
      <c r="A606" t="s">
        <v>1632</v>
      </c>
      <c r="B606" t="s">
        <v>1633</v>
      </c>
      <c r="C606">
        <v>15</v>
      </c>
      <c r="D606">
        <f t="shared" si="46"/>
        <v>15</v>
      </c>
      <c r="E606" t="str">
        <f t="shared" si="47"/>
        <v/>
      </c>
      <c r="F606" t="str">
        <f t="shared" si="48"/>
        <v>PINOL828MLECONOMICO(15)</v>
      </c>
      <c r="G606" t="s">
        <v>3176</v>
      </c>
      <c r="H606" s="2">
        <v>1.2920165020265667E-4</v>
      </c>
    </row>
    <row r="607" spans="1:8" x14ac:dyDescent="0.3">
      <c r="A607" t="s">
        <v>543</v>
      </c>
      <c r="B607" t="s">
        <v>544</v>
      </c>
      <c r="C607">
        <v>12</v>
      </c>
      <c r="D607">
        <f t="shared" si="46"/>
        <v>12</v>
      </c>
      <c r="E607" t="str">
        <f t="shared" si="47"/>
        <v/>
      </c>
      <c r="F607" t="str">
        <f t="shared" si="48"/>
        <v>MIELDEABEJACIERVO1LTO(12)</v>
      </c>
      <c r="G607" t="s">
        <v>2632</v>
      </c>
      <c r="H607" s="2">
        <v>1.2532518716185044E-4</v>
      </c>
    </row>
    <row r="608" spans="1:8" x14ac:dyDescent="0.3">
      <c r="A608" t="s">
        <v>185</v>
      </c>
      <c r="B608" t="s">
        <v>186</v>
      </c>
      <c r="C608">
        <v>24</v>
      </c>
      <c r="D608">
        <f t="shared" si="46"/>
        <v>24</v>
      </c>
      <c r="E608" t="str">
        <f t="shared" si="47"/>
        <v/>
      </c>
      <c r="F608" t="str">
        <f t="shared" si="48"/>
        <v>-REFRESCOCOCACOLAORIG355MLLATA(24)</v>
      </c>
      <c r="G608" t="s">
        <v>2453</v>
      </c>
      <c r="H608" s="2">
        <v>1.2416508532493684E-4</v>
      </c>
    </row>
    <row r="609" spans="1:8" x14ac:dyDescent="0.3">
      <c r="A609" t="s">
        <v>1450</v>
      </c>
      <c r="B609" t="s">
        <v>1451</v>
      </c>
      <c r="C609">
        <v>24</v>
      </c>
      <c r="D609">
        <f t="shared" si="46"/>
        <v>24</v>
      </c>
      <c r="E609" t="str">
        <f t="shared" si="47"/>
        <v/>
      </c>
      <c r="F609" t="str">
        <f t="shared" si="48"/>
        <v>CHAMPINONREBAN.HERDEZ380GR*(24)</v>
      </c>
      <c r="G609" t="s">
        <v>3085</v>
      </c>
      <c r="H609" s="2">
        <v>1.2345213525625162E-4</v>
      </c>
    </row>
    <row r="610" spans="1:8" x14ac:dyDescent="0.3">
      <c r="A610" t="s">
        <v>1791</v>
      </c>
      <c r="B610" t="s">
        <v>1792</v>
      </c>
      <c r="C610">
        <v>24</v>
      </c>
      <c r="D610">
        <f t="shared" si="46"/>
        <v>24</v>
      </c>
      <c r="E610" t="str">
        <f t="shared" si="47"/>
        <v/>
      </c>
      <c r="F610" t="str">
        <f t="shared" si="48"/>
        <v>CHILECHIPOTLEADOBADOCOSTEÑA380G(24)</v>
      </c>
      <c r="G610" t="s">
        <v>3255</v>
      </c>
      <c r="H610" s="2">
        <v>1.2322982324387873E-4</v>
      </c>
    </row>
    <row r="611" spans="1:8" x14ac:dyDescent="0.3">
      <c r="A611" t="s">
        <v>735</v>
      </c>
      <c r="B611" t="s">
        <v>736</v>
      </c>
      <c r="C611">
        <v>20</v>
      </c>
      <c r="D611">
        <f t="shared" si="46"/>
        <v>20</v>
      </c>
      <c r="E611" t="str">
        <f t="shared" si="47"/>
        <v/>
      </c>
      <c r="F611" t="str">
        <f t="shared" si="48"/>
        <v>HERSHEY'SCOCOA200GR(20)</v>
      </c>
      <c r="G611" t="s">
        <v>2728</v>
      </c>
      <c r="H611" s="2">
        <v>1.2316636601739995E-4</v>
      </c>
    </row>
    <row r="612" spans="1:8" x14ac:dyDescent="0.3">
      <c r="A612" t="s">
        <v>2231</v>
      </c>
      <c r="B612" t="s">
        <v>2232</v>
      </c>
      <c r="C612">
        <v>12</v>
      </c>
      <c r="D612">
        <f t="shared" si="46"/>
        <v>12</v>
      </c>
      <c r="E612" t="str">
        <f t="shared" si="47"/>
        <v/>
      </c>
      <c r="F612" t="str">
        <f t="shared" si="48"/>
        <v>MANGOENREBANADASCORINA820G(12)</v>
      </c>
      <c r="G612" t="s">
        <v>3475</v>
      </c>
      <c r="H612" s="2">
        <v>1.2315141163844176E-4</v>
      </c>
    </row>
    <row r="613" spans="1:8" x14ac:dyDescent="0.3">
      <c r="A613" t="s">
        <v>569</v>
      </c>
      <c r="B613" t="s">
        <v>570</v>
      </c>
      <c r="C613">
        <v>1</v>
      </c>
      <c r="D613" t="str">
        <f t="shared" si="46"/>
        <v/>
      </c>
      <c r="E613" t="str">
        <f t="shared" si="47"/>
        <v/>
      </c>
      <c r="F613" t="str">
        <f t="shared" si="48"/>
        <v>PASTALAMODERNAF.MEDINTEGRALC/20/200</v>
      </c>
      <c r="G613" t="s">
        <v>2645</v>
      </c>
      <c r="H613" s="2">
        <v>1.2306434851302482E-4</v>
      </c>
    </row>
    <row r="614" spans="1:8" x14ac:dyDescent="0.3">
      <c r="A614" t="s">
        <v>1652</v>
      </c>
      <c r="B614" t="s">
        <v>1653</v>
      </c>
      <c r="C614">
        <v>12</v>
      </c>
      <c r="D614">
        <f t="shared" si="46"/>
        <v>12</v>
      </c>
      <c r="E614" t="str">
        <f t="shared" si="47"/>
        <v/>
      </c>
      <c r="F614" t="str">
        <f t="shared" si="48"/>
        <v>MERMELADAFRESAMC450G(12)</v>
      </c>
      <c r="G614" t="s">
        <v>3186</v>
      </c>
      <c r="H614" s="2">
        <v>1.2253744988748711E-4</v>
      </c>
    </row>
    <row r="615" spans="1:8" x14ac:dyDescent="0.3">
      <c r="A615" t="s">
        <v>1973</v>
      </c>
      <c r="B615" t="s">
        <v>1974</v>
      </c>
      <c r="C615">
        <v>6</v>
      </c>
      <c r="D615">
        <f t="shared" si="46"/>
        <v>6</v>
      </c>
      <c r="E615" t="str">
        <f t="shared" si="47"/>
        <v/>
      </c>
      <c r="F615" t="str">
        <f t="shared" si="48"/>
        <v>%KNORRCONSOMEDERES1.6K(6)</v>
      </c>
      <c r="G615" t="s">
        <v>3346</v>
      </c>
      <c r="H615" s="2">
        <v>1.1983526021277762E-4</v>
      </c>
    </row>
    <row r="616" spans="1:8" x14ac:dyDescent="0.3">
      <c r="A616" t="s">
        <v>2219</v>
      </c>
      <c r="B616" t="s">
        <v>2220</v>
      </c>
      <c r="C616">
        <v>1</v>
      </c>
      <c r="D616" t="str">
        <f t="shared" si="46"/>
        <v/>
      </c>
      <c r="E616" t="str">
        <f t="shared" si="47"/>
        <v/>
      </c>
      <c r="F616" t="str">
        <f t="shared" si="48"/>
        <v>AZUCARREFMETCOC/1000/4GPORCION</v>
      </c>
      <c r="G616" t="s">
        <v>3469</v>
      </c>
      <c r="H616" s="2">
        <v>1.1973544291630231E-4</v>
      </c>
    </row>
    <row r="617" spans="1:8" x14ac:dyDescent="0.3">
      <c r="A617" t="s">
        <v>745</v>
      </c>
      <c r="B617" t="s">
        <v>746</v>
      </c>
      <c r="C617">
        <v>10</v>
      </c>
      <c r="D617">
        <f t="shared" si="46"/>
        <v>10</v>
      </c>
      <c r="E617">
        <f t="shared" si="47"/>
        <v>30</v>
      </c>
      <c r="F617" t="str">
        <f t="shared" si="48"/>
        <v>-HUEVOSANJUANEMPLAYADOC/30PZS(10)</v>
      </c>
      <c r="G617" t="s">
        <v>2733</v>
      </c>
      <c r="H617" s="2">
        <v>1.1952900218493757E-4</v>
      </c>
    </row>
    <row r="618" spans="1:8" x14ac:dyDescent="0.3">
      <c r="A618" t="s">
        <v>2183</v>
      </c>
      <c r="B618" t="s">
        <v>2184</v>
      </c>
      <c r="C618">
        <v>24</v>
      </c>
      <c r="D618">
        <f t="shared" si="46"/>
        <v>24</v>
      </c>
      <c r="E618">
        <f t="shared" si="47"/>
        <v>25</v>
      </c>
      <c r="F618" t="str">
        <f t="shared" si="48"/>
        <v>TELIMONMC.C/25PZA(24)</v>
      </c>
      <c r="G618" t="s">
        <v>3451</v>
      </c>
      <c r="H618" s="2">
        <v>1.1932282685124731E-4</v>
      </c>
    </row>
    <row r="619" spans="1:8" x14ac:dyDescent="0.3">
      <c r="A619" t="s">
        <v>689</v>
      </c>
      <c r="B619" t="s">
        <v>690</v>
      </c>
      <c r="C619">
        <v>20</v>
      </c>
      <c r="D619">
        <f t="shared" si="46"/>
        <v>20</v>
      </c>
      <c r="E619" t="str">
        <f t="shared" si="47"/>
        <v/>
      </c>
      <c r="F619" t="str">
        <f t="shared" si="48"/>
        <v>LENTEJANOR-VER500GR(20)</v>
      </c>
      <c r="G619" t="s">
        <v>2705</v>
      </c>
      <c r="H619" s="2">
        <v>1.1899306313323847E-4</v>
      </c>
    </row>
    <row r="620" spans="1:8" x14ac:dyDescent="0.3">
      <c r="A620" t="s">
        <v>119</v>
      </c>
      <c r="B620" t="s">
        <v>120</v>
      </c>
      <c r="C620">
        <v>1</v>
      </c>
      <c r="D620" t="str">
        <f t="shared" si="46"/>
        <v/>
      </c>
      <c r="E620" t="str">
        <f t="shared" si="47"/>
        <v/>
      </c>
      <c r="F620" t="str">
        <f>SUBSTITUTE(UPPER(CLEAN(G620))," ","")</f>
        <v>ARROZIMPEGABLEDIAMANTE5K</v>
      </c>
      <c r="G620" t="s">
        <v>2420</v>
      </c>
      <c r="H620" s="2">
        <v>1.1747221092025955E-4</v>
      </c>
    </row>
    <row r="621" spans="1:8" x14ac:dyDescent="0.3">
      <c r="A621" t="s">
        <v>1331</v>
      </c>
      <c r="B621" t="s">
        <v>1332</v>
      </c>
      <c r="C621">
        <v>12</v>
      </c>
      <c r="D621">
        <f t="shared" si="46"/>
        <v>12</v>
      </c>
      <c r="E621" t="str">
        <f t="shared" si="47"/>
        <v/>
      </c>
      <c r="F621" t="str">
        <f t="shared" ref="F621:F652" si="49">SUBSTITUTE(UPPER(CLEAN(B621))," ","")</f>
        <v>EFICAZLIMON750ML(12)</v>
      </c>
      <c r="G621" t="s">
        <v>3026</v>
      </c>
      <c r="H621" s="2">
        <v>1.1736655325795611E-4</v>
      </c>
    </row>
    <row r="622" spans="1:8" x14ac:dyDescent="0.3">
      <c r="A622" t="s">
        <v>1135</v>
      </c>
      <c r="B622" t="s">
        <v>1136</v>
      </c>
      <c r="C622">
        <v>50</v>
      </c>
      <c r="D622">
        <f t="shared" si="46"/>
        <v>50</v>
      </c>
      <c r="E622" t="str">
        <f t="shared" si="47"/>
        <v/>
      </c>
      <c r="F622" t="str">
        <f t="shared" si="49"/>
        <v>-CEREALBRANFLAKESKELLOGG´S35G(50)</v>
      </c>
      <c r="G622" t="s">
        <v>2928</v>
      </c>
      <c r="H622" s="2">
        <v>1.1734364100632306E-4</v>
      </c>
    </row>
    <row r="623" spans="1:8" x14ac:dyDescent="0.3">
      <c r="A623" t="s">
        <v>1965</v>
      </c>
      <c r="B623" t="s">
        <v>1966</v>
      </c>
      <c r="C623">
        <v>1</v>
      </c>
      <c r="D623" t="str">
        <f t="shared" si="46"/>
        <v/>
      </c>
      <c r="E623" t="str">
        <f t="shared" si="47"/>
        <v/>
      </c>
      <c r="F623" t="str">
        <f t="shared" si="49"/>
        <v>SOPAKNORRFIDEOC/2/6/95GR.</v>
      </c>
      <c r="G623" t="s">
        <v>3342</v>
      </c>
      <c r="H623" s="2">
        <v>1.1621122620425493E-4</v>
      </c>
    </row>
    <row r="624" spans="1:8" x14ac:dyDescent="0.3">
      <c r="A624" t="s">
        <v>2069</v>
      </c>
      <c r="B624" t="s">
        <v>2070</v>
      </c>
      <c r="C624">
        <v>1</v>
      </c>
      <c r="D624" t="str">
        <f t="shared" si="46"/>
        <v/>
      </c>
      <c r="E624" t="str">
        <f t="shared" si="47"/>
        <v/>
      </c>
      <c r="F624" t="str">
        <f t="shared" si="49"/>
        <v>-SALSASOYAREGKIKOMAN15.1LTS</v>
      </c>
      <c r="G624" t="s">
        <v>3394</v>
      </c>
      <c r="H624" s="2">
        <v>1.1549922855623458E-4</v>
      </c>
    </row>
    <row r="625" spans="1:8" x14ac:dyDescent="0.3">
      <c r="A625" t="s">
        <v>1863</v>
      </c>
      <c r="B625" t="s">
        <v>1864</v>
      </c>
      <c r="C625">
        <v>12</v>
      </c>
      <c r="D625" t="str">
        <f t="shared" si="46"/>
        <v/>
      </c>
      <c r="E625" t="str">
        <f t="shared" si="47"/>
        <v/>
      </c>
      <c r="F625" t="str">
        <f t="shared" si="49"/>
        <v>TOMATEDESHIDRATADOS.MIGUEL907GR</v>
      </c>
      <c r="G625" t="s">
        <v>3291</v>
      </c>
      <c r="H625" s="2">
        <v>1.1523333361836083E-4</v>
      </c>
    </row>
    <row r="626" spans="1:8" x14ac:dyDescent="0.3">
      <c r="A626" t="s">
        <v>1987</v>
      </c>
      <c r="B626" t="s">
        <v>1988</v>
      </c>
      <c r="C626">
        <v>144</v>
      </c>
      <c r="D626">
        <f t="shared" si="46"/>
        <v>144</v>
      </c>
      <c r="E626" t="str">
        <f t="shared" si="47"/>
        <v/>
      </c>
      <c r="F626" t="str">
        <f t="shared" si="49"/>
        <v>MAIZENASABORFRESA47GR(144)</v>
      </c>
      <c r="G626" t="s">
        <v>3353</v>
      </c>
      <c r="H626" s="2">
        <v>1.1506579275399546E-4</v>
      </c>
    </row>
    <row r="627" spans="1:8" x14ac:dyDescent="0.3">
      <c r="A627" t="s">
        <v>1795</v>
      </c>
      <c r="B627" t="s">
        <v>1796</v>
      </c>
      <c r="C627">
        <v>6</v>
      </c>
      <c r="D627">
        <f t="shared" si="46"/>
        <v>6</v>
      </c>
      <c r="E627" t="str">
        <f t="shared" si="47"/>
        <v/>
      </c>
      <c r="F627" t="str">
        <f t="shared" si="49"/>
        <v>CEREZAC/TALLODIANA1.150KG(6)</v>
      </c>
      <c r="G627" t="s">
        <v>3257</v>
      </c>
      <c r="H627" s="2">
        <v>1.1473990148320997E-4</v>
      </c>
    </row>
    <row r="628" spans="1:8" x14ac:dyDescent="0.3">
      <c r="A628" t="s">
        <v>2093</v>
      </c>
      <c r="B628" t="s">
        <v>2094</v>
      </c>
      <c r="C628">
        <v>40</v>
      </c>
      <c r="D628">
        <f t="shared" si="46"/>
        <v>40</v>
      </c>
      <c r="E628" t="str">
        <f t="shared" si="47"/>
        <v/>
      </c>
      <c r="F628" t="str">
        <f t="shared" si="49"/>
        <v>GELATINADURAZNOJELLO25G(40)</v>
      </c>
      <c r="G628" t="s">
        <v>3406</v>
      </c>
      <c r="H628" s="2">
        <v>1.1461344966882469E-4</v>
      </c>
    </row>
    <row r="629" spans="1:8" x14ac:dyDescent="0.3">
      <c r="A629" t="s">
        <v>1073</v>
      </c>
      <c r="B629" t="s">
        <v>1074</v>
      </c>
      <c r="C629">
        <v>12</v>
      </c>
      <c r="D629">
        <f t="shared" si="46"/>
        <v>12</v>
      </c>
      <c r="E629" t="str">
        <f t="shared" si="47"/>
        <v/>
      </c>
      <c r="F629" t="str">
        <f t="shared" si="49"/>
        <v>MAIZPOZOLEROALFRESCO822GR.(12)</v>
      </c>
      <c r="G629" t="s">
        <v>2897</v>
      </c>
      <c r="H629" s="2">
        <v>1.1457790336101679E-4</v>
      </c>
    </row>
    <row r="630" spans="1:8" x14ac:dyDescent="0.3">
      <c r="A630" t="s">
        <v>323</v>
      </c>
      <c r="B630" t="s">
        <v>324</v>
      </c>
      <c r="C630">
        <v>1</v>
      </c>
      <c r="D630" t="str">
        <f t="shared" si="46"/>
        <v/>
      </c>
      <c r="E630" t="str">
        <f t="shared" si="47"/>
        <v/>
      </c>
      <c r="F630" t="str">
        <f t="shared" si="49"/>
        <v>CREMAPARACAFEMARINOC/1000/3GSOBRES</v>
      </c>
      <c r="G630" t="s">
        <v>2522</v>
      </c>
      <c r="H630" s="2">
        <v>1.144850134392096E-4</v>
      </c>
    </row>
    <row r="631" spans="1:8" x14ac:dyDescent="0.3">
      <c r="A631" t="s">
        <v>283</v>
      </c>
      <c r="B631" t="s">
        <v>284</v>
      </c>
      <c r="C631">
        <v>12</v>
      </c>
      <c r="D631">
        <f t="shared" si="46"/>
        <v>12</v>
      </c>
      <c r="E631" t="str">
        <f t="shared" si="47"/>
        <v/>
      </c>
      <c r="F631" t="str">
        <f t="shared" si="49"/>
        <v>ZUKOMELONC/8/13G(12)</v>
      </c>
      <c r="G631" t="s">
        <v>2502</v>
      </c>
      <c r="H631" s="2">
        <v>1.1411635735840679E-4</v>
      </c>
    </row>
    <row r="632" spans="1:8" x14ac:dyDescent="0.3">
      <c r="A632" t="s">
        <v>2215</v>
      </c>
      <c r="B632" t="s">
        <v>2216</v>
      </c>
      <c r="C632">
        <v>12</v>
      </c>
      <c r="D632">
        <f t="shared" si="46"/>
        <v>12</v>
      </c>
      <c r="E632" t="str">
        <f t="shared" si="47"/>
        <v/>
      </c>
      <c r="F632" t="str">
        <f t="shared" si="49"/>
        <v>SALSATATEMADAYMARTAJADAR.240GR(12)</v>
      </c>
      <c r="G632" t="s">
        <v>3467</v>
      </c>
      <c r="H632" s="2">
        <v>1.1317941955968854E-4</v>
      </c>
    </row>
    <row r="633" spans="1:8" x14ac:dyDescent="0.3">
      <c r="A633" t="s">
        <v>2217</v>
      </c>
      <c r="B633" t="s">
        <v>2218</v>
      </c>
      <c r="C633">
        <v>12</v>
      </c>
      <c r="D633">
        <f t="shared" si="46"/>
        <v>12</v>
      </c>
      <c r="E633" t="str">
        <f t="shared" si="47"/>
        <v/>
      </c>
      <c r="F633" t="str">
        <f t="shared" si="49"/>
        <v>SALSATATEMADAYMARTAJADAV.240GR(12)</v>
      </c>
      <c r="G633" t="s">
        <v>3468</v>
      </c>
      <c r="H633" s="2">
        <v>1.1317941955968854E-4</v>
      </c>
    </row>
    <row r="634" spans="1:8" x14ac:dyDescent="0.3">
      <c r="A634" t="s">
        <v>2125</v>
      </c>
      <c r="B634" t="s">
        <v>2126</v>
      </c>
      <c r="C634">
        <v>24</v>
      </c>
      <c r="D634">
        <f t="shared" si="46"/>
        <v>24</v>
      </c>
      <c r="E634" t="str">
        <f t="shared" si="47"/>
        <v/>
      </c>
      <c r="F634" t="str">
        <f t="shared" si="49"/>
        <v>PASTAYEMINAESTRELLANO.1200GR(24)</v>
      </c>
      <c r="G634" t="s">
        <v>3422</v>
      </c>
      <c r="H634" s="2">
        <v>1.1221211594313754E-4</v>
      </c>
    </row>
    <row r="635" spans="1:8" x14ac:dyDescent="0.3">
      <c r="A635" t="s">
        <v>387</v>
      </c>
      <c r="B635" t="s">
        <v>388</v>
      </c>
      <c r="C635">
        <v>4</v>
      </c>
      <c r="D635">
        <f t="shared" si="46"/>
        <v>4</v>
      </c>
      <c r="E635" t="str">
        <f t="shared" si="47"/>
        <v/>
      </c>
      <c r="F635" t="str">
        <f t="shared" si="49"/>
        <v>VAINILLACIERVO4L(4)</v>
      </c>
      <c r="G635" t="s">
        <v>2554</v>
      </c>
      <c r="H635" s="2">
        <v>1.0962252907933972E-4</v>
      </c>
    </row>
    <row r="636" spans="1:8" x14ac:dyDescent="0.3">
      <c r="A636" t="s">
        <v>797</v>
      </c>
      <c r="B636" t="s">
        <v>798</v>
      </c>
      <c r="C636">
        <v>40</v>
      </c>
      <c r="D636">
        <f t="shared" si="46"/>
        <v>40</v>
      </c>
      <c r="E636" t="str">
        <f t="shared" si="47"/>
        <v/>
      </c>
      <c r="F636" t="str">
        <f t="shared" si="49"/>
        <v>CUCHILLO#3MEDIANOGARDUÑOC/25(40)</v>
      </c>
      <c r="G636" t="s">
        <v>2759</v>
      </c>
      <c r="H636" s="2">
        <v>1.0956466234584275E-4</v>
      </c>
    </row>
    <row r="637" spans="1:8" x14ac:dyDescent="0.3">
      <c r="A637" t="s">
        <v>649</v>
      </c>
      <c r="B637" t="s">
        <v>650</v>
      </c>
      <c r="C637">
        <v>12</v>
      </c>
      <c r="D637">
        <f t="shared" si="46"/>
        <v>12</v>
      </c>
      <c r="E637" t="str">
        <f t="shared" si="47"/>
        <v/>
      </c>
      <c r="F637" t="str">
        <f t="shared" si="49"/>
        <v>SALSAROJAVALENTINA1LTO(12)</v>
      </c>
      <c r="G637" t="s">
        <v>2685</v>
      </c>
      <c r="H637" s="2">
        <v>1.0936800966404147E-4</v>
      </c>
    </row>
    <row r="638" spans="1:8" x14ac:dyDescent="0.3">
      <c r="A638" t="s">
        <v>409</v>
      </c>
      <c r="B638" t="s">
        <v>410</v>
      </c>
      <c r="C638">
        <v>1</v>
      </c>
      <c r="D638" t="str">
        <f t="shared" si="46"/>
        <v/>
      </c>
      <c r="E638" t="str">
        <f t="shared" si="47"/>
        <v/>
      </c>
      <c r="F638" t="str">
        <f t="shared" si="49"/>
        <v>GALLETASOREONABISCOC/14/114GR</v>
      </c>
      <c r="G638" t="s">
        <v>2565</v>
      </c>
      <c r="H638" s="2">
        <v>1.0933029336520337E-4</v>
      </c>
    </row>
    <row r="639" spans="1:8" x14ac:dyDescent="0.3">
      <c r="A639" t="s">
        <v>277</v>
      </c>
      <c r="B639" t="s">
        <v>278</v>
      </c>
      <c r="C639">
        <v>12</v>
      </c>
      <c r="D639">
        <f t="shared" si="46"/>
        <v>12</v>
      </c>
      <c r="E639" t="str">
        <f t="shared" si="47"/>
        <v/>
      </c>
      <c r="F639" t="str">
        <f t="shared" si="49"/>
        <v>ZUKOJAMAICAC/8/13G(12)</v>
      </c>
      <c r="G639" t="s">
        <v>2499</v>
      </c>
      <c r="H639" s="2">
        <v>1.0878924827402955E-4</v>
      </c>
    </row>
    <row r="640" spans="1:8" x14ac:dyDescent="0.3">
      <c r="A640" t="s">
        <v>161</v>
      </c>
      <c r="B640" t="s">
        <v>162</v>
      </c>
      <c r="C640">
        <v>12</v>
      </c>
      <c r="D640">
        <f t="shared" si="46"/>
        <v>12</v>
      </c>
      <c r="E640" t="str">
        <f t="shared" si="47"/>
        <v/>
      </c>
      <c r="F640" t="str">
        <f t="shared" si="49"/>
        <v>COCTTOMATE/ALMEJACUBANOCLAMATO946(12</v>
      </c>
      <c r="G640" t="s">
        <v>2441</v>
      </c>
      <c r="H640" s="2">
        <v>1.0860955326076435E-4</v>
      </c>
    </row>
    <row r="641" spans="1:8" x14ac:dyDescent="0.3">
      <c r="A641" t="s">
        <v>1081</v>
      </c>
      <c r="B641" t="s">
        <v>1082</v>
      </c>
      <c r="C641">
        <v>1</v>
      </c>
      <c r="D641" t="str">
        <f t="shared" si="46"/>
        <v/>
      </c>
      <c r="E641" t="str">
        <f t="shared" si="47"/>
        <v/>
      </c>
      <c r="F641" t="str">
        <f t="shared" si="49"/>
        <v>MOLEBUENO10KG*TINA*</v>
      </c>
      <c r="G641" t="s">
        <v>2901</v>
      </c>
      <c r="H641" s="2">
        <v>1.083949136927358E-4</v>
      </c>
    </row>
    <row r="642" spans="1:8" x14ac:dyDescent="0.3">
      <c r="A642" t="s">
        <v>599</v>
      </c>
      <c r="B642" t="s">
        <v>600</v>
      </c>
      <c r="C642">
        <v>3</v>
      </c>
      <c r="D642">
        <f t="shared" ref="D642:D705" si="50">IFERROR(VALUE(IFERROR(
    MID(G642,FIND("(",G642)+1,FIND(")",G642)-FIND("(",G642)-1),
    IFERROR(
        MID(G642,FIND("(",G642)+1,LEN(G642)-FIND("(",G642)),
        ""
    )
)),"")</f>
        <v>3</v>
      </c>
      <c r="E642" t="str">
        <f t="shared" ref="E642:E705" si="51">IFERROR(VALUE(MID(SUBSTITUTE(G642," ",""),
FIND("/",SUBSTITUTE(G642," ",""))+1,
MIN(IFERROR(FIND("PZS",SUBSTITUTE(G642," ","")),999),
    IFERROR(FIND("PZA",SUBSTITUTE(G642," ","")),999))
-FIND("/",SUBSTITUTE(G642," ",""))-1)),"")</f>
        <v/>
      </c>
      <c r="F642" t="str">
        <f t="shared" si="49"/>
        <v>PASTAYEMINASPAGHETTI4KG(3)</v>
      </c>
      <c r="G642" t="s">
        <v>2660</v>
      </c>
      <c r="H642" s="2">
        <v>1.0838766304929919E-4</v>
      </c>
    </row>
    <row r="643" spans="1:8" x14ac:dyDescent="0.3">
      <c r="A643" t="s">
        <v>1005</v>
      </c>
      <c r="B643" t="s">
        <v>1006</v>
      </c>
      <c r="C643">
        <v>12</v>
      </c>
      <c r="D643">
        <f t="shared" si="50"/>
        <v>12</v>
      </c>
      <c r="E643" t="str">
        <f t="shared" si="51"/>
        <v/>
      </c>
      <c r="F643" t="str">
        <f t="shared" si="49"/>
        <v>PINOLAROMASFLORAL828ML(12)</v>
      </c>
      <c r="G643" t="s">
        <v>2863</v>
      </c>
      <c r="H643" s="2">
        <v>1.0705703916574935E-4</v>
      </c>
    </row>
    <row r="644" spans="1:8" x14ac:dyDescent="0.3">
      <c r="A644" t="s">
        <v>209</v>
      </c>
      <c r="B644" t="s">
        <v>210</v>
      </c>
      <c r="C644">
        <v>20</v>
      </c>
      <c r="D644">
        <f t="shared" si="50"/>
        <v>20</v>
      </c>
      <c r="E644" t="str">
        <f t="shared" si="51"/>
        <v/>
      </c>
      <c r="F644" t="str">
        <f t="shared" si="49"/>
        <v>CHOCOLATEPOPULARMARQUETA250G(20)</v>
      </c>
      <c r="G644" t="s">
        <v>2465</v>
      </c>
      <c r="H644" s="2">
        <v>1.0645861566409891E-4</v>
      </c>
    </row>
    <row r="645" spans="1:8" x14ac:dyDescent="0.3">
      <c r="A645" t="s">
        <v>169</v>
      </c>
      <c r="B645" t="s">
        <v>170</v>
      </c>
      <c r="C645">
        <v>18</v>
      </c>
      <c r="D645">
        <f t="shared" si="50"/>
        <v>18</v>
      </c>
      <c r="E645" t="str">
        <f t="shared" si="51"/>
        <v/>
      </c>
      <c r="F645" t="str">
        <f t="shared" si="49"/>
        <v>AGUADECOCOPIÑAACAPULCOCO330ML(18)</v>
      </c>
      <c r="G645" t="s">
        <v>2445</v>
      </c>
      <c r="H645" s="2">
        <v>1.063516261916369E-4</v>
      </c>
    </row>
    <row r="646" spans="1:8" x14ac:dyDescent="0.3">
      <c r="A646" t="s">
        <v>729</v>
      </c>
      <c r="B646" t="s">
        <v>730</v>
      </c>
      <c r="C646">
        <v>36</v>
      </c>
      <c r="D646">
        <f t="shared" si="50"/>
        <v>36</v>
      </c>
      <c r="E646" t="str">
        <f t="shared" si="51"/>
        <v/>
      </c>
      <c r="F646" t="str">
        <f t="shared" si="49"/>
        <v>CHOCOLATEM&amp;MAMARILLO225GRC/6PZ(36)</v>
      </c>
      <c r="G646" t="s">
        <v>2725</v>
      </c>
      <c r="H646" s="2">
        <v>1.0630519897076347E-4</v>
      </c>
    </row>
    <row r="647" spans="1:8" x14ac:dyDescent="0.3">
      <c r="A647" t="s">
        <v>1181</v>
      </c>
      <c r="B647" t="s">
        <v>1182</v>
      </c>
      <c r="C647">
        <v>12</v>
      </c>
      <c r="D647">
        <f t="shared" si="50"/>
        <v>12</v>
      </c>
      <c r="E647" t="str">
        <f t="shared" si="51"/>
        <v/>
      </c>
      <c r="F647" t="str">
        <f t="shared" si="49"/>
        <v>CARAMELOD´GARI1K(12)</v>
      </c>
      <c r="G647" t="s">
        <v>2951</v>
      </c>
      <c r="H647" s="2">
        <v>1.0455125418966153E-4</v>
      </c>
    </row>
    <row r="648" spans="1:8" x14ac:dyDescent="0.3">
      <c r="A648" t="s">
        <v>1829</v>
      </c>
      <c r="B648" t="s">
        <v>1830</v>
      </c>
      <c r="C648">
        <v>12</v>
      </c>
      <c r="D648">
        <f t="shared" si="50"/>
        <v>12</v>
      </c>
      <c r="E648" t="str">
        <f t="shared" si="51"/>
        <v/>
      </c>
      <c r="F648" t="str">
        <f t="shared" si="49"/>
        <v>FLORDECALABAZAS.MIGUEL780G(12)</v>
      </c>
      <c r="G648" t="s">
        <v>3274</v>
      </c>
      <c r="H648" s="2">
        <v>1.0434043719532634E-4</v>
      </c>
    </row>
    <row r="649" spans="1:8" x14ac:dyDescent="0.3">
      <c r="A649" t="s">
        <v>1857</v>
      </c>
      <c r="B649" t="s">
        <v>1858</v>
      </c>
      <c r="C649">
        <v>12</v>
      </c>
      <c r="D649">
        <f t="shared" si="50"/>
        <v>12</v>
      </c>
      <c r="E649" t="str">
        <f t="shared" si="51"/>
        <v/>
      </c>
      <c r="F649" t="str">
        <f t="shared" si="49"/>
        <v>PALMITOMITADESS.MIGUEL400G(12)</v>
      </c>
      <c r="G649" t="s">
        <v>3288</v>
      </c>
      <c r="H649" s="2">
        <v>1.040899885138903E-4</v>
      </c>
    </row>
    <row r="650" spans="1:8" x14ac:dyDescent="0.3">
      <c r="A650" t="s">
        <v>1384</v>
      </c>
      <c r="B650" t="s">
        <v>1385</v>
      </c>
      <c r="C650">
        <v>8</v>
      </c>
      <c r="D650">
        <f t="shared" si="50"/>
        <v>8</v>
      </c>
      <c r="E650" t="str">
        <f t="shared" si="51"/>
        <v/>
      </c>
      <c r="F650" t="str">
        <f t="shared" si="49"/>
        <v>COCTELTOMATE/ALMEJAKERMATO1.80L(8)FR</v>
      </c>
      <c r="G650" t="s">
        <v>3052</v>
      </c>
      <c r="H650" s="2">
        <v>1.0319625457272757E-4</v>
      </c>
    </row>
    <row r="651" spans="1:8" x14ac:dyDescent="0.3">
      <c r="A651" t="s">
        <v>825</v>
      </c>
      <c r="B651" t="s">
        <v>826</v>
      </c>
      <c r="C651">
        <v>20</v>
      </c>
      <c r="D651">
        <f t="shared" si="50"/>
        <v>20</v>
      </c>
      <c r="E651" t="str">
        <f t="shared" si="51"/>
        <v/>
      </c>
      <c r="F651" t="str">
        <f t="shared" si="49"/>
        <v>DETERGENTEROMA500GR(20)</v>
      </c>
      <c r="G651" t="s">
        <v>2773</v>
      </c>
      <c r="H651" s="2">
        <v>1.028977966600283E-4</v>
      </c>
    </row>
    <row r="652" spans="1:8" x14ac:dyDescent="0.3">
      <c r="A652" t="s">
        <v>385</v>
      </c>
      <c r="B652" t="s">
        <v>386</v>
      </c>
      <c r="C652">
        <v>12</v>
      </c>
      <c r="D652">
        <f t="shared" si="50"/>
        <v>12</v>
      </c>
      <c r="E652" t="str">
        <f t="shared" si="51"/>
        <v/>
      </c>
      <c r="F652" t="str">
        <f t="shared" si="49"/>
        <v>SALCONAJOPRAGNA1.100G(12)</v>
      </c>
      <c r="G652" t="s">
        <v>2553</v>
      </c>
      <c r="H652" s="2">
        <v>1.0172343000110227E-4</v>
      </c>
    </row>
    <row r="653" spans="1:8" x14ac:dyDescent="0.3">
      <c r="A653" t="s">
        <v>885</v>
      </c>
      <c r="B653" t="s">
        <v>886</v>
      </c>
      <c r="C653">
        <v>25</v>
      </c>
      <c r="D653">
        <f t="shared" si="50"/>
        <v>25</v>
      </c>
      <c r="E653" t="str">
        <f t="shared" si="51"/>
        <v/>
      </c>
      <c r="F653" t="str">
        <f>SUBSTITUTE(UPPER(CLEAN(G653))," ","")</f>
        <v>BOLSACAMISETAREYMAGDEBCA1KG(25)</v>
      </c>
      <c r="G653" t="s">
        <v>2803</v>
      </c>
      <c r="H653" s="2">
        <v>1.0149812758813709E-4</v>
      </c>
    </row>
    <row r="654" spans="1:8" x14ac:dyDescent="0.3">
      <c r="A654" t="s">
        <v>1969</v>
      </c>
      <c r="B654" t="s">
        <v>1970</v>
      </c>
      <c r="C654">
        <v>12</v>
      </c>
      <c r="D654">
        <f t="shared" si="50"/>
        <v>12</v>
      </c>
      <c r="E654" t="str">
        <f t="shared" si="51"/>
        <v/>
      </c>
      <c r="F654" t="str">
        <f t="shared" ref="F654:F677" si="52">SUBSTITUTE(UPPER(CLEAN(B654))," ","")</f>
        <v>MAYONESALIGHTHELLMANN´S395G(12)</v>
      </c>
      <c r="G654" t="s">
        <v>3344</v>
      </c>
      <c r="H654" s="2">
        <v>1.0141033371084308E-4</v>
      </c>
    </row>
    <row r="655" spans="1:8" x14ac:dyDescent="0.3">
      <c r="A655" t="s">
        <v>2211</v>
      </c>
      <c r="B655" t="s">
        <v>2212</v>
      </c>
      <c r="C655">
        <v>24</v>
      </c>
      <c r="D655">
        <f t="shared" si="50"/>
        <v>24</v>
      </c>
      <c r="E655" t="str">
        <f t="shared" si="51"/>
        <v/>
      </c>
      <c r="F655" t="str">
        <f t="shared" si="52"/>
        <v>-MAYONESAHELLMANN´S190G(24)PET</v>
      </c>
      <c r="G655" t="s">
        <v>3465</v>
      </c>
      <c r="H655" s="2">
        <v>1.0077501211153773E-4</v>
      </c>
    </row>
    <row r="656" spans="1:8" x14ac:dyDescent="0.3">
      <c r="A656" t="s">
        <v>2065</v>
      </c>
      <c r="B656" t="s">
        <v>2066</v>
      </c>
      <c r="C656">
        <v>4</v>
      </c>
      <c r="D656">
        <f t="shared" si="50"/>
        <v>4</v>
      </c>
      <c r="E656" t="str">
        <f t="shared" si="51"/>
        <v/>
      </c>
      <c r="F656" t="str">
        <f t="shared" si="52"/>
        <v>VINAGREBLANCOCLEMENTEJACKS3.7LTO(4)</v>
      </c>
      <c r="G656" t="s">
        <v>3392</v>
      </c>
      <c r="H656" s="2">
        <v>1.0076642969563392E-4</v>
      </c>
    </row>
    <row r="657" spans="1:8" x14ac:dyDescent="0.3">
      <c r="A657" t="s">
        <v>1895</v>
      </c>
      <c r="B657" t="s">
        <v>1896</v>
      </c>
      <c r="C657">
        <v>20</v>
      </c>
      <c r="D657">
        <f t="shared" si="50"/>
        <v>20</v>
      </c>
      <c r="E657" t="str">
        <f t="shared" si="51"/>
        <v/>
      </c>
      <c r="F657" t="str">
        <f t="shared" si="52"/>
        <v>MICRODYN1LTO(20)</v>
      </c>
      <c r="G657" t="s">
        <v>3307</v>
      </c>
      <c r="H657" s="2">
        <v>1.0038047746261458E-4</v>
      </c>
    </row>
    <row r="658" spans="1:8" x14ac:dyDescent="0.3">
      <c r="A658" t="s">
        <v>1221</v>
      </c>
      <c r="B658" t="s">
        <v>1222</v>
      </c>
      <c r="C658">
        <v>12</v>
      </c>
      <c r="D658">
        <f t="shared" si="50"/>
        <v>12</v>
      </c>
      <c r="E658" t="str">
        <f t="shared" si="51"/>
        <v/>
      </c>
      <c r="F658" t="str">
        <f t="shared" si="52"/>
        <v>CAFEDECAF170G(12)</v>
      </c>
      <c r="G658" t="s">
        <v>2971</v>
      </c>
      <c r="H658" s="2">
        <v>9.8978147259477114E-5</v>
      </c>
    </row>
    <row r="659" spans="1:8" x14ac:dyDescent="0.3">
      <c r="A659" t="s">
        <v>1059</v>
      </c>
      <c r="B659" t="s">
        <v>1060</v>
      </c>
      <c r="C659">
        <v>12</v>
      </c>
      <c r="D659">
        <f t="shared" si="50"/>
        <v>12</v>
      </c>
      <c r="E659" t="str">
        <f t="shared" si="51"/>
        <v/>
      </c>
      <c r="F659" t="str">
        <f t="shared" si="52"/>
        <v>COCTELTOMATE/ALMEJACLAMATO473ML(12)</v>
      </c>
      <c r="G659" t="s">
        <v>2890</v>
      </c>
      <c r="H659" s="2">
        <v>9.8257401226431804E-5</v>
      </c>
    </row>
    <row r="660" spans="1:8" x14ac:dyDescent="0.3">
      <c r="A660" t="s">
        <v>1420</v>
      </c>
      <c r="B660" t="s">
        <v>1421</v>
      </c>
      <c r="C660">
        <v>12</v>
      </c>
      <c r="D660">
        <f t="shared" si="50"/>
        <v>1</v>
      </c>
      <c r="E660" t="str">
        <f t="shared" si="51"/>
        <v/>
      </c>
      <c r="F660" t="str">
        <f t="shared" si="52"/>
        <v>%GELATINALECHEVAINILLACARTED'OR600(1</v>
      </c>
      <c r="G660" t="s">
        <v>3070</v>
      </c>
      <c r="H660" s="2">
        <v>9.7827799195437473E-5</v>
      </c>
    </row>
    <row r="661" spans="1:8" x14ac:dyDescent="0.3">
      <c r="A661" t="s">
        <v>1211</v>
      </c>
      <c r="B661" t="s">
        <v>1212</v>
      </c>
      <c r="C661">
        <v>4</v>
      </c>
      <c r="D661">
        <f t="shared" si="50"/>
        <v>4</v>
      </c>
      <c r="E661" t="str">
        <f t="shared" si="51"/>
        <v/>
      </c>
      <c r="F661" t="str">
        <f t="shared" si="52"/>
        <v>SALSAINGLESAFRENCHS3.78L(4)</v>
      </c>
      <c r="G661" t="s">
        <v>2966</v>
      </c>
      <c r="H661" s="2">
        <v>9.7050254823856448E-5</v>
      </c>
    </row>
    <row r="662" spans="1:8" x14ac:dyDescent="0.3">
      <c r="A662" t="s">
        <v>2339</v>
      </c>
      <c r="B662" t="s">
        <v>2340</v>
      </c>
      <c r="C662">
        <v>4</v>
      </c>
      <c r="D662">
        <f t="shared" si="50"/>
        <v>4</v>
      </c>
      <c r="E662" t="str">
        <f t="shared" si="51"/>
        <v/>
      </c>
      <c r="F662" t="str">
        <f t="shared" si="52"/>
        <v>VINAGREMANZANALAANITA3.785L(4)</v>
      </c>
      <c r="G662" t="s">
        <v>3529</v>
      </c>
      <c r="H662" s="2">
        <v>9.6816789820241154E-5</v>
      </c>
    </row>
    <row r="663" spans="1:8" x14ac:dyDescent="0.3">
      <c r="A663" t="s">
        <v>1364</v>
      </c>
      <c r="B663" t="s">
        <v>1365</v>
      </c>
      <c r="C663">
        <v>12</v>
      </c>
      <c r="D663" t="str">
        <f t="shared" si="50"/>
        <v/>
      </c>
      <c r="E663" t="str">
        <f t="shared" si="51"/>
        <v/>
      </c>
      <c r="F663" t="str">
        <f t="shared" si="52"/>
        <v>HARINAP/BROWNIESFUDGEBETTYC.462GR</v>
      </c>
      <c r="G663" t="s">
        <v>3042</v>
      </c>
      <c r="H663" s="2">
        <v>9.6639225394464358E-5</v>
      </c>
    </row>
    <row r="664" spans="1:8" x14ac:dyDescent="0.3">
      <c r="A664" t="s">
        <v>2085</v>
      </c>
      <c r="B664" t="s">
        <v>2086</v>
      </c>
      <c r="C664">
        <v>40</v>
      </c>
      <c r="D664">
        <f t="shared" si="50"/>
        <v>40</v>
      </c>
      <c r="E664" t="str">
        <f t="shared" si="51"/>
        <v/>
      </c>
      <c r="F664" t="str">
        <f t="shared" si="52"/>
        <v>GELATINAFRESAJELLO25G(40)</v>
      </c>
      <c r="G664" t="s">
        <v>3402</v>
      </c>
      <c r="H664" s="2">
        <v>9.5803674442336347E-5</v>
      </c>
    </row>
    <row r="665" spans="1:8" x14ac:dyDescent="0.3">
      <c r="A665" t="s">
        <v>505</v>
      </c>
      <c r="B665" t="s">
        <v>506</v>
      </c>
      <c r="C665">
        <v>6</v>
      </c>
      <c r="D665">
        <f t="shared" si="50"/>
        <v>6</v>
      </c>
      <c r="E665" t="str">
        <f t="shared" si="51"/>
        <v/>
      </c>
      <c r="F665" t="str">
        <f t="shared" si="52"/>
        <v>LECHEDECOCOORGANICACALAHUA1L(6)</v>
      </c>
      <c r="G665" t="s">
        <v>2613</v>
      </c>
      <c r="H665" s="2">
        <v>9.5697515868784148E-5</v>
      </c>
    </row>
    <row r="666" spans="1:8" x14ac:dyDescent="0.3">
      <c r="A666" t="s">
        <v>1853</v>
      </c>
      <c r="B666" t="s">
        <v>1854</v>
      </c>
      <c r="C666">
        <v>12</v>
      </c>
      <c r="D666">
        <f t="shared" si="50"/>
        <v>12</v>
      </c>
      <c r="E666" t="str">
        <f t="shared" si="51"/>
        <v/>
      </c>
      <c r="F666" t="str">
        <f t="shared" si="52"/>
        <v>VINAGREBALSAMICOMOD.SANMIGUEL500M(12</v>
      </c>
      <c r="G666" t="s">
        <v>3286</v>
      </c>
      <c r="H666" s="2">
        <v>9.5236012025462705E-5</v>
      </c>
    </row>
    <row r="667" spans="1:8" x14ac:dyDescent="0.3">
      <c r="A667" t="s">
        <v>287</v>
      </c>
      <c r="B667" t="s">
        <v>288</v>
      </c>
      <c r="C667">
        <v>12</v>
      </c>
      <c r="D667">
        <f t="shared" si="50"/>
        <v>12</v>
      </c>
      <c r="E667" t="str">
        <f t="shared" si="51"/>
        <v/>
      </c>
      <c r="F667" t="str">
        <f t="shared" si="52"/>
        <v>ZUKOPIÑAC/8/13G(12)</v>
      </c>
      <c r="G667" t="s">
        <v>2504</v>
      </c>
      <c r="H667" s="2">
        <v>9.507686143040209E-5</v>
      </c>
    </row>
    <row r="668" spans="1:8" x14ac:dyDescent="0.3">
      <c r="A668" t="s">
        <v>2347</v>
      </c>
      <c r="B668" t="s">
        <v>2348</v>
      </c>
      <c r="C668">
        <v>12</v>
      </c>
      <c r="D668">
        <f t="shared" si="50"/>
        <v>12</v>
      </c>
      <c r="E668" t="str">
        <f t="shared" si="51"/>
        <v/>
      </c>
      <c r="F668" t="str">
        <f t="shared" si="52"/>
        <v>ACEITUNAC/HUESOCARBONELL350G(12)</v>
      </c>
      <c r="G668" t="s">
        <v>3533</v>
      </c>
      <c r="H668" s="2">
        <v>9.4263310880806329E-5</v>
      </c>
    </row>
    <row r="669" spans="1:8" x14ac:dyDescent="0.3">
      <c r="A669" t="s">
        <v>723</v>
      </c>
      <c r="B669" t="s">
        <v>724</v>
      </c>
      <c r="C669">
        <v>24</v>
      </c>
      <c r="D669">
        <f t="shared" si="50"/>
        <v>24</v>
      </c>
      <c r="E669" t="str">
        <f t="shared" si="51"/>
        <v/>
      </c>
      <c r="F669" t="str">
        <f t="shared" si="52"/>
        <v>CHOCOLATEM&amp;MCAFE226GRC/6(24)</v>
      </c>
      <c r="G669" t="s">
        <v>2722</v>
      </c>
      <c r="H669" s="2">
        <v>9.4193600289581414E-5</v>
      </c>
    </row>
    <row r="670" spans="1:8" x14ac:dyDescent="0.3">
      <c r="A670" t="s">
        <v>443</v>
      </c>
      <c r="B670" t="s">
        <v>444</v>
      </c>
      <c r="C670">
        <v>10</v>
      </c>
      <c r="D670">
        <f t="shared" si="50"/>
        <v>10</v>
      </c>
      <c r="E670" t="str">
        <f t="shared" si="51"/>
        <v/>
      </c>
      <c r="F670" t="str">
        <f t="shared" si="52"/>
        <v>HARINAINTEGRALPERLA907GR(10)</v>
      </c>
      <c r="G670" t="s">
        <v>2582</v>
      </c>
      <c r="H670" s="2">
        <v>9.3761137194899022E-5</v>
      </c>
    </row>
    <row r="671" spans="1:8" x14ac:dyDescent="0.3">
      <c r="A671" t="s">
        <v>2123</v>
      </c>
      <c r="B671" t="s">
        <v>2124</v>
      </c>
      <c r="C671">
        <v>24</v>
      </c>
      <c r="D671">
        <f t="shared" si="50"/>
        <v>24</v>
      </c>
      <c r="E671" t="str">
        <f t="shared" si="51"/>
        <v/>
      </c>
      <c r="F671" t="str">
        <f t="shared" si="52"/>
        <v>PASTATALLARINYEMINA200GR(24)</v>
      </c>
      <c r="G671" t="s">
        <v>3421</v>
      </c>
      <c r="H671" s="2">
        <v>9.3184908059376615E-5</v>
      </c>
    </row>
    <row r="672" spans="1:8" x14ac:dyDescent="0.3">
      <c r="A672" t="s">
        <v>2209</v>
      </c>
      <c r="B672" t="s">
        <v>2210</v>
      </c>
      <c r="C672">
        <v>12</v>
      </c>
      <c r="D672">
        <f t="shared" si="50"/>
        <v>12</v>
      </c>
      <c r="E672" t="str">
        <f t="shared" si="51"/>
        <v/>
      </c>
      <c r="F672" t="str">
        <f t="shared" si="52"/>
        <v>SALSABUFALOCLASICA990GR(12)</v>
      </c>
      <c r="G672" t="s">
        <v>3464</v>
      </c>
      <c r="H672" s="2">
        <v>9.2633905621207385E-5</v>
      </c>
    </row>
    <row r="673" spans="1:8" x14ac:dyDescent="0.3">
      <c r="A673" t="s">
        <v>523</v>
      </c>
      <c r="B673" t="s">
        <v>524</v>
      </c>
      <c r="C673">
        <v>1</v>
      </c>
      <c r="D673" t="str">
        <f t="shared" si="50"/>
        <v/>
      </c>
      <c r="E673" t="str">
        <f t="shared" si="51"/>
        <v/>
      </c>
      <c r="F673" t="str">
        <f t="shared" si="52"/>
        <v>-MAYONESALIMONHEINZCUBETA13KG</v>
      </c>
      <c r="G673" t="s">
        <v>2622</v>
      </c>
      <c r="H673" s="2">
        <v>9.2607848750986732E-5</v>
      </c>
    </row>
    <row r="674" spans="1:8" x14ac:dyDescent="0.3">
      <c r="A674" t="s">
        <v>191</v>
      </c>
      <c r="B674" t="s">
        <v>192</v>
      </c>
      <c r="C674">
        <v>16</v>
      </c>
      <c r="D674">
        <f t="shared" si="50"/>
        <v>16</v>
      </c>
      <c r="E674" t="str">
        <f t="shared" si="51"/>
        <v/>
      </c>
      <c r="F674" t="str">
        <f t="shared" si="52"/>
        <v>CEREALZUCARITASKELLOGG'S600G(16)</v>
      </c>
      <c r="G674" t="s">
        <v>2456</v>
      </c>
      <c r="H674" s="2">
        <v>9.1950736002217599E-5</v>
      </c>
    </row>
    <row r="675" spans="1:8" x14ac:dyDescent="0.3">
      <c r="A675" t="s">
        <v>1249</v>
      </c>
      <c r="B675" t="s">
        <v>1250</v>
      </c>
      <c r="C675">
        <v>1</v>
      </c>
      <c r="D675" t="str">
        <f t="shared" si="50"/>
        <v/>
      </c>
      <c r="E675" t="str">
        <f t="shared" si="51"/>
        <v/>
      </c>
      <c r="F675" t="str">
        <f t="shared" si="52"/>
        <v>SPLENDANATURALSCONSTEVIAC/400/1G</v>
      </c>
      <c r="G675" t="s">
        <v>2985</v>
      </c>
      <c r="H675" s="2">
        <v>9.1752969219681263E-5</v>
      </c>
    </row>
    <row r="676" spans="1:8" x14ac:dyDescent="0.3">
      <c r="A676" t="s">
        <v>1051</v>
      </c>
      <c r="B676" t="s">
        <v>1052</v>
      </c>
      <c r="C676">
        <v>24</v>
      </c>
      <c r="D676">
        <f t="shared" si="50"/>
        <v>24</v>
      </c>
      <c r="E676" t="str">
        <f t="shared" si="51"/>
        <v/>
      </c>
      <c r="F676" t="str">
        <f t="shared" si="52"/>
        <v>PURETOMATEFUERTECOND.BRICK345GR(24)</v>
      </c>
      <c r="G676" t="s">
        <v>2886</v>
      </c>
      <c r="H676" s="2">
        <v>9.1545378792391786E-5</v>
      </c>
    </row>
    <row r="677" spans="1:8" x14ac:dyDescent="0.3">
      <c r="A677" t="s">
        <v>1462</v>
      </c>
      <c r="B677" t="s">
        <v>1463</v>
      </c>
      <c r="C677">
        <v>24</v>
      </c>
      <c r="D677">
        <f t="shared" si="50"/>
        <v>24</v>
      </c>
      <c r="E677" t="str">
        <f t="shared" si="51"/>
        <v/>
      </c>
      <c r="F677" t="str">
        <f t="shared" si="52"/>
        <v>CHICHAROC/ZANAHORIAHERDEZ400*(24</v>
      </c>
      <c r="G677" t="s">
        <v>3091</v>
      </c>
      <c r="H677" s="2">
        <v>9.115490082102864E-5</v>
      </c>
    </row>
    <row r="678" spans="1:8" x14ac:dyDescent="0.3">
      <c r="A678" t="s">
        <v>875</v>
      </c>
      <c r="B678" t="s">
        <v>876</v>
      </c>
      <c r="C678">
        <v>25</v>
      </c>
      <c r="D678">
        <f t="shared" si="50"/>
        <v>25</v>
      </c>
      <c r="E678" t="str">
        <f t="shared" si="51"/>
        <v/>
      </c>
      <c r="F678" t="str">
        <f>SUBSTITUTE(UPPER(CLEAN(G678))," ","")</f>
        <v>BOLSANEGRAP/BASURAGENE.90X1.201K(25)</v>
      </c>
      <c r="G678" t="s">
        <v>2798</v>
      </c>
      <c r="H678" s="2">
        <v>9.0833475807244031E-5</v>
      </c>
    </row>
    <row r="679" spans="1:8" x14ac:dyDescent="0.3">
      <c r="A679" t="s">
        <v>2221</v>
      </c>
      <c r="B679" t="s">
        <v>2222</v>
      </c>
      <c r="C679">
        <v>6</v>
      </c>
      <c r="D679">
        <f t="shared" si="50"/>
        <v>6</v>
      </c>
      <c r="E679" t="str">
        <f t="shared" si="51"/>
        <v/>
      </c>
      <c r="F679" t="str">
        <f t="shared" ref="F679:F704" si="53">SUBSTITUTE(UPPER(CLEAN(B679))," ","")</f>
        <v>ELOTEENGRANOASTRA2.84KG(6)</v>
      </c>
      <c r="G679" t="s">
        <v>3470</v>
      </c>
      <c r="H679" s="2">
        <v>9.0543441686957628E-5</v>
      </c>
    </row>
    <row r="680" spans="1:8" x14ac:dyDescent="0.3">
      <c r="A680" t="s">
        <v>495</v>
      </c>
      <c r="B680" t="s">
        <v>496</v>
      </c>
      <c r="C680">
        <v>16</v>
      </c>
      <c r="D680">
        <f t="shared" si="50"/>
        <v>16</v>
      </c>
      <c r="E680" t="str">
        <f t="shared" si="51"/>
        <v/>
      </c>
      <c r="F680" t="str">
        <f t="shared" si="53"/>
        <v>-JUGONARANJACITRUSTAMPICO1L(16)</v>
      </c>
      <c r="G680" t="s">
        <v>2608</v>
      </c>
      <c r="H680" s="2">
        <v>9.0466715962417754E-5</v>
      </c>
    </row>
    <row r="681" spans="1:8" x14ac:dyDescent="0.3">
      <c r="A681" t="s">
        <v>2151</v>
      </c>
      <c r="B681" t="s">
        <v>2152</v>
      </c>
      <c r="C681">
        <v>12</v>
      </c>
      <c r="D681">
        <f t="shared" si="50"/>
        <v>12</v>
      </c>
      <c r="E681" t="str">
        <f t="shared" si="51"/>
        <v/>
      </c>
      <c r="F681" t="str">
        <f t="shared" si="53"/>
        <v>SALSAPREGOCAMPBELL'S680GR(12)</v>
      </c>
      <c r="G681" t="s">
        <v>3435</v>
      </c>
      <c r="H681" s="2">
        <v>8.8128080102985274E-5</v>
      </c>
    </row>
    <row r="682" spans="1:8" x14ac:dyDescent="0.3">
      <c r="A682" t="s">
        <v>2111</v>
      </c>
      <c r="B682" t="s">
        <v>2112</v>
      </c>
      <c r="C682">
        <v>24</v>
      </c>
      <c r="D682">
        <f t="shared" si="50"/>
        <v>24</v>
      </c>
      <c r="E682" t="str">
        <f t="shared" si="51"/>
        <v/>
      </c>
      <c r="F682" t="str">
        <f t="shared" si="53"/>
        <v>PASTAYEMINACODONO.2200GR(24)</v>
      </c>
      <c r="G682" t="s">
        <v>3415</v>
      </c>
      <c r="H682" s="2">
        <v>8.7679409545091347E-5</v>
      </c>
    </row>
    <row r="683" spans="1:8" x14ac:dyDescent="0.3">
      <c r="A683" t="s">
        <v>2255</v>
      </c>
      <c r="B683" t="s">
        <v>2256</v>
      </c>
      <c r="C683">
        <v>12</v>
      </c>
      <c r="D683">
        <f t="shared" si="50"/>
        <v>12</v>
      </c>
      <c r="E683" t="str">
        <f t="shared" si="51"/>
        <v/>
      </c>
      <c r="F683" t="str">
        <f t="shared" si="53"/>
        <v>FABULOSOFRESCOAMANECER1LTO(12)</v>
      </c>
      <c r="G683" t="s">
        <v>3487</v>
      </c>
      <c r="H683" s="2">
        <v>8.7278801204675427E-5</v>
      </c>
    </row>
    <row r="684" spans="1:8" x14ac:dyDescent="0.3">
      <c r="A684" t="s">
        <v>477</v>
      </c>
      <c r="B684" t="s">
        <v>478</v>
      </c>
      <c r="C684">
        <v>24</v>
      </c>
      <c r="D684">
        <f t="shared" si="50"/>
        <v>24</v>
      </c>
      <c r="E684" t="str">
        <f t="shared" si="51"/>
        <v/>
      </c>
      <c r="F684" t="str">
        <f t="shared" si="53"/>
        <v>BEBIDAGATORADEUVA500ML(24)</v>
      </c>
      <c r="G684" t="s">
        <v>2599</v>
      </c>
      <c r="H684" s="2">
        <v>8.7182547727071116E-5</v>
      </c>
    </row>
    <row r="685" spans="1:8" x14ac:dyDescent="0.3">
      <c r="A685" t="s">
        <v>2259</v>
      </c>
      <c r="B685" t="s">
        <v>2260</v>
      </c>
      <c r="C685">
        <v>12</v>
      </c>
      <c r="D685">
        <f t="shared" si="50"/>
        <v>12</v>
      </c>
      <c r="E685" t="str">
        <f t="shared" si="51"/>
        <v/>
      </c>
      <c r="F685" t="str">
        <f t="shared" si="53"/>
        <v>FABULOSOENERGIANARANJA1LTO(12</v>
      </c>
      <c r="G685" t="s">
        <v>3489</v>
      </c>
      <c r="H685" s="2">
        <v>8.6902262397036624E-5</v>
      </c>
    </row>
    <row r="686" spans="1:8" x14ac:dyDescent="0.3">
      <c r="A686" t="s">
        <v>2037</v>
      </c>
      <c r="B686" t="s">
        <v>2038</v>
      </c>
      <c r="C686">
        <v>12</v>
      </c>
      <c r="D686">
        <f t="shared" si="50"/>
        <v>12</v>
      </c>
      <c r="E686" t="str">
        <f t="shared" si="51"/>
        <v/>
      </c>
      <c r="F686" t="str">
        <f t="shared" si="53"/>
        <v>-KNORRTOMATEC/24CUBOS(12)</v>
      </c>
      <c r="G686" t="s">
        <v>3378</v>
      </c>
      <c r="H686" s="2">
        <v>8.6373189954195746E-5</v>
      </c>
    </row>
    <row r="687" spans="1:8" x14ac:dyDescent="0.3">
      <c r="A687" t="s">
        <v>1544</v>
      </c>
      <c r="B687" t="s">
        <v>1545</v>
      </c>
      <c r="C687">
        <v>12</v>
      </c>
      <c r="D687">
        <f t="shared" si="50"/>
        <v>12</v>
      </c>
      <c r="E687" t="str">
        <f t="shared" si="51"/>
        <v/>
      </c>
      <c r="F687" t="str">
        <f t="shared" si="53"/>
        <v>GALLETASEMPERADORCOMBINADO382G(12)</v>
      </c>
      <c r="G687" t="s">
        <v>3132</v>
      </c>
      <c r="H687" s="2">
        <v>8.6195480502809156E-5</v>
      </c>
    </row>
    <row r="688" spans="1:8" x14ac:dyDescent="0.3">
      <c r="A688" t="s">
        <v>571</v>
      </c>
      <c r="B688" t="s">
        <v>572</v>
      </c>
      <c r="C688">
        <v>1</v>
      </c>
      <c r="D688" t="str">
        <f t="shared" si="50"/>
        <v/>
      </c>
      <c r="E688" t="str">
        <f t="shared" si="51"/>
        <v/>
      </c>
      <c r="F688" t="str">
        <f t="shared" si="53"/>
        <v>PASTALAMODERNASPAGHETTIINT.C/20/200</v>
      </c>
      <c r="G688" t="s">
        <v>2646</v>
      </c>
      <c r="H688" s="2">
        <v>8.5985219275792549E-5</v>
      </c>
    </row>
    <row r="689" spans="1:8" x14ac:dyDescent="0.3">
      <c r="A689" t="s">
        <v>1139</v>
      </c>
      <c r="B689" t="s">
        <v>1140</v>
      </c>
      <c r="C689">
        <v>28</v>
      </c>
      <c r="D689">
        <f t="shared" si="50"/>
        <v>28</v>
      </c>
      <c r="E689" t="str">
        <f t="shared" si="51"/>
        <v/>
      </c>
      <c r="F689" t="str">
        <f t="shared" si="53"/>
        <v>CEREALALLBRANKELLOGG´S465G(28)</v>
      </c>
      <c r="G689" t="s">
        <v>2930</v>
      </c>
      <c r="H689" s="2">
        <v>8.5453414419378761E-5</v>
      </c>
    </row>
    <row r="690" spans="1:8" x14ac:dyDescent="0.3">
      <c r="A690" t="s">
        <v>235</v>
      </c>
      <c r="B690" t="s">
        <v>236</v>
      </c>
      <c r="C690">
        <v>12</v>
      </c>
      <c r="D690">
        <f t="shared" si="50"/>
        <v>12</v>
      </c>
      <c r="E690" t="str">
        <f t="shared" si="51"/>
        <v/>
      </c>
      <c r="F690" t="str">
        <f t="shared" si="53"/>
        <v>-CONCENTRADOTELIMONFRUTIVA1L(12)</v>
      </c>
      <c r="G690" t="s">
        <v>2478</v>
      </c>
      <c r="H690" s="2">
        <v>8.4708644073986611E-5</v>
      </c>
    </row>
    <row r="691" spans="1:8" x14ac:dyDescent="0.3">
      <c r="A691" t="s">
        <v>579</v>
      </c>
      <c r="B691" t="s">
        <v>580</v>
      </c>
      <c r="C691">
        <v>20</v>
      </c>
      <c r="D691">
        <f t="shared" si="50"/>
        <v>20</v>
      </c>
      <c r="E691" t="str">
        <f t="shared" si="51"/>
        <v/>
      </c>
      <c r="F691" t="str">
        <f t="shared" si="53"/>
        <v>PASTAFIORDIP.FUSSILLI200GR(20)</v>
      </c>
      <c r="G691" t="s">
        <v>2650</v>
      </c>
      <c r="H691" s="2">
        <v>8.4422790902350013E-5</v>
      </c>
    </row>
    <row r="692" spans="1:8" x14ac:dyDescent="0.3">
      <c r="A692" t="s">
        <v>331</v>
      </c>
      <c r="B692" t="s">
        <v>332</v>
      </c>
      <c r="C692">
        <v>8</v>
      </c>
      <c r="D692">
        <f t="shared" si="50"/>
        <v>8</v>
      </c>
      <c r="E692" t="str">
        <f t="shared" si="51"/>
        <v/>
      </c>
      <c r="F692" t="str">
        <f t="shared" si="53"/>
        <v>CREMACHOCO/AVELLANASNUTELLA950GR(8)</v>
      </c>
      <c r="G692" t="s">
        <v>2526</v>
      </c>
      <c r="H692" s="2">
        <v>8.41035676509785E-5</v>
      </c>
    </row>
    <row r="693" spans="1:8" x14ac:dyDescent="0.3">
      <c r="A693" t="s">
        <v>501</v>
      </c>
      <c r="B693" t="s">
        <v>502</v>
      </c>
      <c r="C693">
        <v>12</v>
      </c>
      <c r="D693">
        <f t="shared" si="50"/>
        <v>12</v>
      </c>
      <c r="E693" t="str">
        <f t="shared" si="51"/>
        <v/>
      </c>
      <c r="F693" t="str">
        <f t="shared" si="53"/>
        <v>LECHEDECOCOCALAHUA330ML(12)</v>
      </c>
      <c r="G693" t="s">
        <v>2611</v>
      </c>
      <c r="H693" s="2">
        <v>8.3418340489238942E-5</v>
      </c>
    </row>
    <row r="694" spans="1:8" x14ac:dyDescent="0.3">
      <c r="A694" t="s">
        <v>347</v>
      </c>
      <c r="B694" t="s">
        <v>348</v>
      </c>
      <c r="C694">
        <v>1</v>
      </c>
      <c r="D694" t="str">
        <f t="shared" si="50"/>
        <v/>
      </c>
      <c r="E694" t="str">
        <f t="shared" si="51"/>
        <v/>
      </c>
      <c r="F694" t="str">
        <f t="shared" si="53"/>
        <v>ENDULZANTESTEVIAN´JOYC/300/1G</v>
      </c>
      <c r="G694" t="s">
        <v>2534</v>
      </c>
      <c r="H694" s="2">
        <v>8.2996953118226179E-5</v>
      </c>
    </row>
    <row r="695" spans="1:8" x14ac:dyDescent="0.3">
      <c r="A695" t="s">
        <v>2201</v>
      </c>
      <c r="B695" t="s">
        <v>2202</v>
      </c>
      <c r="C695">
        <v>1</v>
      </c>
      <c r="D695" t="str">
        <f t="shared" si="50"/>
        <v/>
      </c>
      <c r="E695" t="str">
        <f t="shared" si="51"/>
        <v/>
      </c>
      <c r="F695" t="str">
        <f t="shared" si="53"/>
        <v>TOALLAINTERDOBLADASSANITASC/20/100PZS</v>
      </c>
      <c r="G695" t="s">
        <v>3460</v>
      </c>
      <c r="H695" s="2">
        <v>8.2353979781828128E-5</v>
      </c>
    </row>
    <row r="696" spans="1:8" x14ac:dyDescent="0.3">
      <c r="A696" t="s">
        <v>1269</v>
      </c>
      <c r="B696" t="s">
        <v>1270</v>
      </c>
      <c r="C696">
        <v>12</v>
      </c>
      <c r="D696">
        <f t="shared" si="50"/>
        <v>12</v>
      </c>
      <c r="E696" t="str">
        <f t="shared" si="51"/>
        <v/>
      </c>
      <c r="F696" t="str">
        <f t="shared" si="53"/>
        <v>-LECHECLAVEL1KG(12)***</v>
      </c>
      <c r="G696" t="s">
        <v>2995</v>
      </c>
      <c r="H696" s="2">
        <v>8.2351143678765322E-5</v>
      </c>
    </row>
    <row r="697" spans="1:8" x14ac:dyDescent="0.3">
      <c r="A697" t="s">
        <v>289</v>
      </c>
      <c r="B697" t="s">
        <v>290</v>
      </c>
      <c r="C697">
        <v>12</v>
      </c>
      <c r="D697">
        <f t="shared" si="50"/>
        <v>12</v>
      </c>
      <c r="E697" t="str">
        <f t="shared" si="51"/>
        <v/>
      </c>
      <c r="F697" t="str">
        <f t="shared" si="53"/>
        <v>ZUKOSANDIAC/8/13G(12)</v>
      </c>
      <c r="G697" t="s">
        <v>2505</v>
      </c>
      <c r="H697" s="2">
        <v>8.2107649844793447E-5</v>
      </c>
    </row>
    <row r="698" spans="1:8" x14ac:dyDescent="0.3">
      <c r="A698" t="s">
        <v>1883</v>
      </c>
      <c r="B698" t="s">
        <v>1884</v>
      </c>
      <c r="C698">
        <v>10</v>
      </c>
      <c r="D698">
        <f t="shared" si="50"/>
        <v>10</v>
      </c>
      <c r="E698" t="str">
        <f t="shared" si="51"/>
        <v/>
      </c>
      <c r="F698" t="str">
        <f t="shared" si="53"/>
        <v>KNORRCONDIMIXPOLLO1K(10)</v>
      </c>
      <c r="G698" t="s">
        <v>3301</v>
      </c>
      <c r="H698" s="2">
        <v>8.2042323149108924E-5</v>
      </c>
    </row>
    <row r="699" spans="1:8" x14ac:dyDescent="0.3">
      <c r="A699" t="s">
        <v>2133</v>
      </c>
      <c r="B699" t="s">
        <v>2134</v>
      </c>
      <c r="C699">
        <v>12</v>
      </c>
      <c r="D699">
        <f t="shared" si="50"/>
        <v>12</v>
      </c>
      <c r="E699" t="str">
        <f t="shared" si="51"/>
        <v/>
      </c>
      <c r="F699" t="str">
        <f t="shared" si="53"/>
        <v>-REFRESCOCOCACOLAORIGINAL600ML(12)</v>
      </c>
      <c r="G699" t="s">
        <v>3426</v>
      </c>
      <c r="H699" s="2">
        <v>8.1383827019633972E-5</v>
      </c>
    </row>
    <row r="700" spans="1:8" x14ac:dyDescent="0.3">
      <c r="A700" t="s">
        <v>293</v>
      </c>
      <c r="B700" t="s">
        <v>294</v>
      </c>
      <c r="C700">
        <v>12</v>
      </c>
      <c r="D700">
        <f t="shared" si="50"/>
        <v>12</v>
      </c>
      <c r="E700" t="str">
        <f t="shared" si="51"/>
        <v/>
      </c>
      <c r="F700" t="str">
        <f t="shared" si="53"/>
        <v>ZUKOUVAC/8/13G(12)</v>
      </c>
      <c r="G700" t="s">
        <v>2507</v>
      </c>
      <c r="H700" s="2">
        <v>8.0752403610201849E-5</v>
      </c>
    </row>
    <row r="701" spans="1:8" x14ac:dyDescent="0.3">
      <c r="A701" t="s">
        <v>1179</v>
      </c>
      <c r="B701" t="s">
        <v>1180</v>
      </c>
      <c r="C701">
        <v>12</v>
      </c>
      <c r="D701">
        <f t="shared" si="50"/>
        <v>12</v>
      </c>
      <c r="E701" t="str">
        <f t="shared" si="51"/>
        <v/>
      </c>
      <c r="F701" t="str">
        <f t="shared" si="53"/>
        <v>VAINILLAD'GARI1L(12)</v>
      </c>
      <c r="G701" t="s">
        <v>2950</v>
      </c>
      <c r="H701" s="2">
        <v>8.0032773285222173E-5</v>
      </c>
    </row>
    <row r="702" spans="1:8" x14ac:dyDescent="0.3">
      <c r="A702" t="s">
        <v>1406</v>
      </c>
      <c r="B702" t="s">
        <v>1407</v>
      </c>
      <c r="C702">
        <v>6</v>
      </c>
      <c r="D702">
        <f t="shared" si="50"/>
        <v>6</v>
      </c>
      <c r="E702" t="str">
        <f t="shared" si="51"/>
        <v/>
      </c>
      <c r="F702" t="str">
        <f t="shared" si="53"/>
        <v>PUREDETOMATECOSTEÑALATA2.95KG(6)</v>
      </c>
      <c r="G702" t="s">
        <v>3063</v>
      </c>
      <c r="H702" s="2">
        <v>7.9979092245750888E-5</v>
      </c>
    </row>
    <row r="703" spans="1:8" x14ac:dyDescent="0.3">
      <c r="A703" t="s">
        <v>2251</v>
      </c>
      <c r="B703" t="s">
        <v>2252</v>
      </c>
      <c r="C703">
        <v>12</v>
      </c>
      <c r="D703">
        <f t="shared" si="50"/>
        <v>12</v>
      </c>
      <c r="E703" t="str">
        <f t="shared" si="51"/>
        <v/>
      </c>
      <c r="F703" t="str">
        <f t="shared" si="53"/>
        <v>FABULOSOPASIONDEFRUTAS1LT*(12)</v>
      </c>
      <c r="G703" t="s">
        <v>3485</v>
      </c>
      <c r="H703" s="2">
        <v>7.9868711550237691E-5</v>
      </c>
    </row>
    <row r="704" spans="1:8" x14ac:dyDescent="0.3">
      <c r="A704" t="s">
        <v>275</v>
      </c>
      <c r="B704" t="s">
        <v>276</v>
      </c>
      <c r="C704">
        <v>12</v>
      </c>
      <c r="D704">
        <f t="shared" si="50"/>
        <v>12</v>
      </c>
      <c r="E704" t="str">
        <f t="shared" si="51"/>
        <v/>
      </c>
      <c r="F704" t="str">
        <f t="shared" si="53"/>
        <v>ZUKODURAZNOC/8/13G(12)</v>
      </c>
      <c r="G704" t="s">
        <v>2498</v>
      </c>
      <c r="H704" s="2">
        <v>7.9574145180531423E-5</v>
      </c>
    </row>
    <row r="705" spans="1:8" x14ac:dyDescent="0.3">
      <c r="A705" t="s">
        <v>871</v>
      </c>
      <c r="B705" t="s">
        <v>872</v>
      </c>
      <c r="C705">
        <v>12</v>
      </c>
      <c r="D705">
        <f t="shared" si="50"/>
        <v>12</v>
      </c>
      <c r="E705" t="str">
        <f t="shared" si="51"/>
        <v/>
      </c>
      <c r="F705" t="str">
        <f>SUBSTITUTE(UPPER(CLEAN(G705))," ","")</f>
        <v>-EASYOFFPASTA238GR(12)</v>
      </c>
      <c r="G705" t="s">
        <v>2796</v>
      </c>
      <c r="H705" s="2">
        <v>7.9515362156555165E-5</v>
      </c>
    </row>
    <row r="706" spans="1:8" x14ac:dyDescent="0.3">
      <c r="A706" t="s">
        <v>2309</v>
      </c>
      <c r="B706" t="s">
        <v>2310</v>
      </c>
      <c r="C706">
        <v>6</v>
      </c>
      <c r="D706">
        <f t="shared" ref="D706:D769" si="54">IFERROR(VALUE(IFERROR(
    MID(G706,FIND("(",G706)+1,FIND(")",G706)-FIND("(",G706)-1),
    IFERROR(
        MID(G706,FIND("(",G706)+1,LEN(G706)-FIND("(",G706)),
        ""
    )
)),"")</f>
        <v>6</v>
      </c>
      <c r="E706" t="str">
        <f t="shared" ref="E706:E769" si="55">IFERROR(VALUE(MID(SUBSTITUTE(G706," ",""),
FIND("/",SUBSTITUTE(G706," ",""))+1,
MIN(IFERROR(FIND("PZS",SUBSTITUTE(G706," ","")),999),
    IFERROR(FIND("PZA",SUBSTITUTE(G706," ","")),999))
-FIND("/",SUBSTITUTE(G706," ",""))-1)),"")</f>
        <v/>
      </c>
      <c r="F706" t="str">
        <f t="shared" ref="F706:F714" si="56">SUBSTITUTE(UPPER(CLEAN(B706))," ","")</f>
        <v>SALSACHAMOYMEGA4LTS(6)</v>
      </c>
      <c r="G706" t="s">
        <v>3514</v>
      </c>
      <c r="H706" s="2">
        <v>7.9304830321613953E-5</v>
      </c>
    </row>
    <row r="707" spans="1:8" x14ac:dyDescent="0.3">
      <c r="A707" t="s">
        <v>1692</v>
      </c>
      <c r="B707" t="s">
        <v>1693</v>
      </c>
      <c r="C707">
        <v>24</v>
      </c>
      <c r="D707">
        <f t="shared" si="54"/>
        <v>24</v>
      </c>
      <c r="E707">
        <f t="shared" si="55"/>
        <v>25</v>
      </c>
      <c r="F707" t="str">
        <f t="shared" si="56"/>
        <v>TEVERDEMC.CORMICC/25PZS(24)</v>
      </c>
      <c r="G707" t="s">
        <v>3206</v>
      </c>
      <c r="H707" s="2">
        <v>7.7743374120526704E-5</v>
      </c>
    </row>
    <row r="708" spans="1:8" x14ac:dyDescent="0.3">
      <c r="A708" t="s">
        <v>1724</v>
      </c>
      <c r="B708" t="s">
        <v>1725</v>
      </c>
      <c r="C708">
        <v>24</v>
      </c>
      <c r="D708">
        <f t="shared" si="54"/>
        <v>24</v>
      </c>
      <c r="E708" t="str">
        <f t="shared" si="55"/>
        <v/>
      </c>
      <c r="F708" t="str">
        <f t="shared" si="56"/>
        <v>CHILERAJASCOSTEÑA380G(24)</v>
      </c>
      <c r="G708" t="s">
        <v>3222</v>
      </c>
      <c r="H708" s="2">
        <v>7.761244824915836E-5</v>
      </c>
    </row>
    <row r="709" spans="1:8" x14ac:dyDescent="0.3">
      <c r="A709" t="s">
        <v>267</v>
      </c>
      <c r="B709" t="s">
        <v>268</v>
      </c>
      <c r="C709">
        <v>12</v>
      </c>
      <c r="D709">
        <f t="shared" si="54"/>
        <v>12</v>
      </c>
      <c r="E709" t="str">
        <f t="shared" si="55"/>
        <v/>
      </c>
      <c r="F709" t="str">
        <f t="shared" si="56"/>
        <v>TANGNARANJAC/8/13G(12)</v>
      </c>
      <c r="G709" t="s">
        <v>2494</v>
      </c>
      <c r="H709" s="2">
        <v>7.7352833153847847E-5</v>
      </c>
    </row>
    <row r="710" spans="1:8" x14ac:dyDescent="0.3">
      <c r="A710" t="s">
        <v>1133</v>
      </c>
      <c r="B710" t="s">
        <v>1134</v>
      </c>
      <c r="C710">
        <v>1</v>
      </c>
      <c r="D710" t="str">
        <f t="shared" si="54"/>
        <v/>
      </c>
      <c r="E710">
        <f t="shared" si="55"/>
        <v>50</v>
      </c>
      <c r="F710" t="str">
        <f t="shared" si="56"/>
        <v>-CEREALGOLOSINASKELLOGG´SC/50</v>
      </c>
      <c r="G710" t="s">
        <v>2927</v>
      </c>
      <c r="H710" s="2">
        <v>7.7075991981947231E-5</v>
      </c>
    </row>
    <row r="711" spans="1:8" x14ac:dyDescent="0.3">
      <c r="A711" t="s">
        <v>1115</v>
      </c>
      <c r="B711" t="s">
        <v>1116</v>
      </c>
      <c r="C711">
        <v>12</v>
      </c>
      <c r="D711">
        <f t="shared" si="54"/>
        <v>12</v>
      </c>
      <c r="E711" t="str">
        <f t="shared" si="55"/>
        <v/>
      </c>
      <c r="F711" t="str">
        <f t="shared" si="56"/>
        <v>NECTARMANZANAJUMEX0AZUCAR960ML(12)</v>
      </c>
      <c r="G711" t="s">
        <v>2918</v>
      </c>
      <c r="H711" s="2">
        <v>7.6170508279859415E-5</v>
      </c>
    </row>
    <row r="712" spans="1:8" x14ac:dyDescent="0.3">
      <c r="A712" t="s">
        <v>1821</v>
      </c>
      <c r="B712" t="s">
        <v>1822</v>
      </c>
      <c r="C712">
        <v>30</v>
      </c>
      <c r="D712">
        <f t="shared" si="54"/>
        <v>30</v>
      </c>
      <c r="E712" t="str">
        <f t="shared" si="55"/>
        <v/>
      </c>
      <c r="F712" t="str">
        <f t="shared" si="56"/>
        <v>CLORALEX250MLREGULAR(30)</v>
      </c>
      <c r="G712" t="s">
        <v>3270</v>
      </c>
      <c r="H712" s="2">
        <v>7.5126320711222267E-5</v>
      </c>
    </row>
    <row r="713" spans="1:8" x14ac:dyDescent="0.3">
      <c r="A713" t="s">
        <v>573</v>
      </c>
      <c r="B713" t="s">
        <v>574</v>
      </c>
      <c r="C713">
        <v>20</v>
      </c>
      <c r="D713">
        <f t="shared" si="54"/>
        <v>20</v>
      </c>
      <c r="E713" t="str">
        <f t="shared" si="55"/>
        <v/>
      </c>
      <c r="F713" t="str">
        <f t="shared" si="56"/>
        <v>PASTAFIORDIP.ALFABETO200GR(20)</v>
      </c>
      <c r="G713" t="s">
        <v>2647</v>
      </c>
      <c r="H713" s="2">
        <v>7.3758971010659974E-5</v>
      </c>
    </row>
    <row r="714" spans="1:8" x14ac:dyDescent="0.3">
      <c r="A714" t="s">
        <v>2357</v>
      </c>
      <c r="B714" t="s">
        <v>2358</v>
      </c>
      <c r="C714">
        <v>12</v>
      </c>
      <c r="D714">
        <f t="shared" si="54"/>
        <v>12</v>
      </c>
      <c r="E714" t="str">
        <f t="shared" si="55"/>
        <v/>
      </c>
      <c r="F714" t="str">
        <f t="shared" si="56"/>
        <v>-ACEITUNAS/HUESOCARBONELL180G(12)DOY</v>
      </c>
      <c r="G714" t="s">
        <v>3538</v>
      </c>
      <c r="H714" s="2">
        <v>7.3121847768252375E-5</v>
      </c>
    </row>
    <row r="715" spans="1:8" x14ac:dyDescent="0.3">
      <c r="A715" t="s">
        <v>853</v>
      </c>
      <c r="B715" t="s">
        <v>854</v>
      </c>
      <c r="C715">
        <v>25</v>
      </c>
      <c r="D715">
        <f t="shared" si="54"/>
        <v>25</v>
      </c>
      <c r="E715" t="str">
        <f t="shared" si="55"/>
        <v/>
      </c>
      <c r="F715" t="str">
        <f>SUBSTITUTE(UPPER(CLEAN(G715))," ","")</f>
        <v>JABONZOTEBLANCO400GR.(25)</v>
      </c>
      <c r="G715" t="s">
        <v>2787</v>
      </c>
      <c r="H715" s="2">
        <v>7.2106070739395695E-5</v>
      </c>
    </row>
    <row r="716" spans="1:8" x14ac:dyDescent="0.3">
      <c r="A716" t="s">
        <v>1027</v>
      </c>
      <c r="B716" t="s">
        <v>1028</v>
      </c>
      <c r="C716">
        <v>24</v>
      </c>
      <c r="D716">
        <f t="shared" si="54"/>
        <v>24</v>
      </c>
      <c r="E716" t="str">
        <f t="shared" si="55"/>
        <v/>
      </c>
      <c r="F716" t="str">
        <f t="shared" ref="F716:F723" si="57">SUBSTITUTE(UPPER(CLEAN(B716))," ","")</f>
        <v>ENSALADACAMPESINADELMONTE400GR(24)</v>
      </c>
      <c r="G716" t="s">
        <v>2874</v>
      </c>
      <c r="H716" s="2">
        <v>7.1690289021034373E-5</v>
      </c>
    </row>
    <row r="717" spans="1:8" x14ac:dyDescent="0.3">
      <c r="A717" t="s">
        <v>2303</v>
      </c>
      <c r="B717" t="s">
        <v>2304</v>
      </c>
      <c r="C717">
        <v>6</v>
      </c>
      <c r="D717">
        <f t="shared" si="54"/>
        <v>6</v>
      </c>
      <c r="E717" t="str">
        <f t="shared" si="55"/>
        <v/>
      </c>
      <c r="F717" t="str">
        <f t="shared" si="57"/>
        <v>MOSTAZAMEGA3.85KG(6)</v>
      </c>
      <c r="G717" t="s">
        <v>3511</v>
      </c>
      <c r="H717" s="2">
        <v>7.0986649875991523E-5</v>
      </c>
    </row>
    <row r="718" spans="1:8" x14ac:dyDescent="0.3">
      <c r="A718" t="s">
        <v>65</v>
      </c>
      <c r="B718" t="s">
        <v>66</v>
      </c>
      <c r="C718">
        <v>12</v>
      </c>
      <c r="D718">
        <f t="shared" si="54"/>
        <v>12</v>
      </c>
      <c r="E718" t="str">
        <f t="shared" si="55"/>
        <v/>
      </c>
      <c r="F718" t="str">
        <f t="shared" si="57"/>
        <v>ACEITECRISTAL1L(12)</v>
      </c>
      <c r="G718" t="s">
        <v>2393</v>
      </c>
      <c r="H718" s="2">
        <v>7.0664671344657871E-5</v>
      </c>
    </row>
    <row r="719" spans="1:8" x14ac:dyDescent="0.3">
      <c r="A719" t="s">
        <v>1029</v>
      </c>
      <c r="B719" t="s">
        <v>1030</v>
      </c>
      <c r="C719">
        <v>24</v>
      </c>
      <c r="D719">
        <f t="shared" si="54"/>
        <v>24</v>
      </c>
      <c r="E719" t="str">
        <f t="shared" si="55"/>
        <v/>
      </c>
      <c r="F719" t="str">
        <f t="shared" si="57"/>
        <v>ENSALADAVERDURASDELMONTE215GR(24)</v>
      </c>
      <c r="G719" t="s">
        <v>2875</v>
      </c>
      <c r="H719" s="2">
        <v>7.0458741622096384E-5</v>
      </c>
    </row>
    <row r="720" spans="1:8" x14ac:dyDescent="0.3">
      <c r="A720" t="s">
        <v>211</v>
      </c>
      <c r="B720" t="s">
        <v>212</v>
      </c>
      <c r="C720">
        <v>20</v>
      </c>
      <c r="D720">
        <f t="shared" si="54"/>
        <v>20</v>
      </c>
      <c r="E720" t="str">
        <f t="shared" si="55"/>
        <v/>
      </c>
      <c r="F720" t="str">
        <f t="shared" si="57"/>
        <v>CHOCOLATEPREMIUMMARQUETA250G(20)</v>
      </c>
      <c r="G720" t="s">
        <v>2466</v>
      </c>
      <c r="H720" s="2">
        <v>7.0423709912324021E-5</v>
      </c>
    </row>
    <row r="721" spans="1:8" x14ac:dyDescent="0.3">
      <c r="A721" t="s">
        <v>291</v>
      </c>
      <c r="B721" t="s">
        <v>292</v>
      </c>
      <c r="C721">
        <v>12</v>
      </c>
      <c r="D721">
        <f t="shared" si="54"/>
        <v>12</v>
      </c>
      <c r="E721" t="str">
        <f t="shared" si="55"/>
        <v/>
      </c>
      <c r="F721" t="str">
        <f t="shared" si="57"/>
        <v>ZUKOTAMARINDOC/8/13G(12)</v>
      </c>
      <c r="G721" t="s">
        <v>2506</v>
      </c>
      <c r="H721" s="2">
        <v>6.8033781659858209E-5</v>
      </c>
    </row>
    <row r="722" spans="1:8" x14ac:dyDescent="0.3">
      <c r="A722" t="s">
        <v>781</v>
      </c>
      <c r="B722" t="s">
        <v>782</v>
      </c>
      <c r="C722">
        <v>1</v>
      </c>
      <c r="D722" t="str">
        <f t="shared" si="54"/>
        <v/>
      </c>
      <c r="E722" t="str">
        <f t="shared" si="55"/>
        <v/>
      </c>
      <c r="F722" t="str">
        <f t="shared" si="57"/>
        <v>SOUFFLETRANSPARENTEDART2OZ2500PZ</v>
      </c>
      <c r="G722" t="s">
        <v>2751</v>
      </c>
      <c r="H722" s="2">
        <v>6.7611751649593763E-5</v>
      </c>
    </row>
    <row r="723" spans="1:8" x14ac:dyDescent="0.3">
      <c r="A723" t="s">
        <v>1963</v>
      </c>
      <c r="B723" t="s">
        <v>1964</v>
      </c>
      <c r="C723">
        <v>1</v>
      </c>
      <c r="D723" t="str">
        <f t="shared" si="54"/>
        <v/>
      </c>
      <c r="E723" t="str">
        <f t="shared" si="55"/>
        <v/>
      </c>
      <c r="F723" t="str">
        <f t="shared" si="57"/>
        <v>SOPAKNORRLETRAC/2/6/95GR.</v>
      </c>
      <c r="G723" t="s">
        <v>3341</v>
      </c>
      <c r="H723" s="2">
        <v>6.7230267525468377E-5</v>
      </c>
    </row>
    <row r="724" spans="1:8" x14ac:dyDescent="0.3">
      <c r="A724" t="s">
        <v>15</v>
      </c>
      <c r="B724" t="s">
        <v>16</v>
      </c>
      <c r="C724">
        <v>10</v>
      </c>
      <c r="D724">
        <f t="shared" si="54"/>
        <v>10</v>
      </c>
      <c r="E724" t="str">
        <f t="shared" si="55"/>
        <v/>
      </c>
      <c r="F724" t="str">
        <f>SUBSTITUTE(UPPER(CLEAN(G724))," ","")</f>
        <v>-FRIJOLPINTOSCHETTINO1K(10)</v>
      </c>
      <c r="G724" t="s">
        <v>2368</v>
      </c>
      <c r="H724" s="2">
        <v>6.6837659925219638E-5</v>
      </c>
    </row>
    <row r="725" spans="1:8" x14ac:dyDescent="0.3">
      <c r="A725" t="s">
        <v>1466</v>
      </c>
      <c r="B725" t="s">
        <v>1467</v>
      </c>
      <c r="C725">
        <v>24</v>
      </c>
      <c r="D725">
        <f t="shared" si="54"/>
        <v>24</v>
      </c>
      <c r="E725" t="str">
        <f t="shared" si="55"/>
        <v/>
      </c>
      <c r="F725" t="str">
        <f t="shared" ref="F725:F741" si="58">SUBSTITUTE(UPPER(CLEAN(B725))," ","")</f>
        <v>ELOTEGRANOHERDEZ400GR(24)</v>
      </c>
      <c r="G725" t="s">
        <v>3093</v>
      </c>
      <c r="H725" s="2">
        <v>6.633850578616588E-5</v>
      </c>
    </row>
    <row r="726" spans="1:8" x14ac:dyDescent="0.3">
      <c r="A726" t="s">
        <v>1440</v>
      </c>
      <c r="B726" t="s">
        <v>1441</v>
      </c>
      <c r="C726">
        <v>15</v>
      </c>
      <c r="D726">
        <f t="shared" si="54"/>
        <v>15</v>
      </c>
      <c r="E726" t="str">
        <f t="shared" si="55"/>
        <v/>
      </c>
      <c r="F726" t="str">
        <f t="shared" si="58"/>
        <v>ACIDOELSULTAN900ML(15)</v>
      </c>
      <c r="G726" t="s">
        <v>3080</v>
      </c>
      <c r="H726" s="2">
        <v>6.5818081419371624E-5</v>
      </c>
    </row>
    <row r="727" spans="1:8" x14ac:dyDescent="0.3">
      <c r="A727" t="s">
        <v>657</v>
      </c>
      <c r="B727" t="s">
        <v>658</v>
      </c>
      <c r="C727">
        <v>24</v>
      </c>
      <c r="D727">
        <f t="shared" si="54"/>
        <v>24</v>
      </c>
      <c r="E727" t="str">
        <f t="shared" si="55"/>
        <v/>
      </c>
      <c r="F727" t="str">
        <f t="shared" si="58"/>
        <v>SALSAPICANTEMARISCOSVALENTINA370M(24</v>
      </c>
      <c r="G727" t="s">
        <v>2689</v>
      </c>
      <c r="H727" s="2">
        <v>6.5623296532324417E-5</v>
      </c>
    </row>
    <row r="728" spans="1:8" x14ac:dyDescent="0.3">
      <c r="A728" t="s">
        <v>701</v>
      </c>
      <c r="B728" t="s">
        <v>702</v>
      </c>
      <c r="C728">
        <v>1</v>
      </c>
      <c r="D728" t="str">
        <f t="shared" si="54"/>
        <v/>
      </c>
      <c r="E728" t="str">
        <f t="shared" si="55"/>
        <v/>
      </c>
      <c r="F728" t="str">
        <f t="shared" si="58"/>
        <v>-SOPANISSINRES12/64GR.</v>
      </c>
      <c r="G728" t="s">
        <v>2711</v>
      </c>
      <c r="H728" s="2">
        <v>6.5610071432764533E-5</v>
      </c>
    </row>
    <row r="729" spans="1:8" x14ac:dyDescent="0.3">
      <c r="A729" t="s">
        <v>2061</v>
      </c>
      <c r="B729" t="s">
        <v>2062</v>
      </c>
      <c r="C729">
        <v>18</v>
      </c>
      <c r="D729">
        <f t="shared" si="54"/>
        <v>18</v>
      </c>
      <c r="E729" t="str">
        <f t="shared" si="55"/>
        <v/>
      </c>
      <c r="F729" t="str">
        <f t="shared" si="58"/>
        <v>GRENETINAD'GARI28GR(18)</v>
      </c>
      <c r="G729" t="s">
        <v>3390</v>
      </c>
      <c r="H729" s="2">
        <v>6.5380115638198101E-5</v>
      </c>
    </row>
    <row r="730" spans="1:8" x14ac:dyDescent="0.3">
      <c r="A730" t="s">
        <v>1871</v>
      </c>
      <c r="B730" t="s">
        <v>1872</v>
      </c>
      <c r="C730">
        <v>12</v>
      </c>
      <c r="D730">
        <f t="shared" si="54"/>
        <v>12</v>
      </c>
      <c r="E730" t="str">
        <f t="shared" si="55"/>
        <v/>
      </c>
      <c r="F730" t="str">
        <f t="shared" si="58"/>
        <v>-ARROZBASMATISANMIGUEL500GR(12)</v>
      </c>
      <c r="G730" t="s">
        <v>3295</v>
      </c>
      <c r="H730" s="2">
        <v>6.5276734564160234E-5</v>
      </c>
    </row>
    <row r="731" spans="1:8" x14ac:dyDescent="0.3">
      <c r="A731" t="s">
        <v>1789</v>
      </c>
      <c r="B731" t="s">
        <v>1790</v>
      </c>
      <c r="C731">
        <v>12</v>
      </c>
      <c r="D731">
        <f t="shared" si="54"/>
        <v>12</v>
      </c>
      <c r="E731" t="str">
        <f t="shared" si="55"/>
        <v/>
      </c>
      <c r="F731" t="str">
        <f t="shared" si="58"/>
        <v>PUREMANZANACOSTEÑA465G(12)</v>
      </c>
      <c r="G731" t="s">
        <v>3254</v>
      </c>
      <c r="H731" s="2">
        <v>6.5007551390851363E-5</v>
      </c>
    </row>
    <row r="732" spans="1:8" x14ac:dyDescent="0.3">
      <c r="A732" t="s">
        <v>765</v>
      </c>
      <c r="B732" t="s">
        <v>766</v>
      </c>
      <c r="C732">
        <v>12</v>
      </c>
      <c r="D732">
        <f t="shared" si="54"/>
        <v>12</v>
      </c>
      <c r="E732" t="str">
        <f t="shared" si="55"/>
        <v/>
      </c>
      <c r="F732" t="str">
        <f t="shared" si="58"/>
        <v>-GLADEHAWAIIANBREEZE400ML*(12)</v>
      </c>
      <c r="G732" t="s">
        <v>2743</v>
      </c>
      <c r="H732" s="2">
        <v>6.4787503689377196E-5</v>
      </c>
    </row>
    <row r="733" spans="1:8" x14ac:dyDescent="0.3">
      <c r="A733" t="s">
        <v>1528</v>
      </c>
      <c r="B733" t="s">
        <v>1529</v>
      </c>
      <c r="C733">
        <v>10</v>
      </c>
      <c r="D733">
        <f t="shared" si="54"/>
        <v>10</v>
      </c>
      <c r="E733" t="str">
        <f t="shared" si="55"/>
        <v/>
      </c>
      <c r="F733" t="str">
        <f t="shared" si="58"/>
        <v>GALLETASARCOIRISGAMESA670G(10)</v>
      </c>
      <c r="G733" t="s">
        <v>3124</v>
      </c>
      <c r="H733" s="2">
        <v>6.4755812720679125E-5</v>
      </c>
    </row>
    <row r="734" spans="1:8" x14ac:dyDescent="0.3">
      <c r="A734" t="s">
        <v>1941</v>
      </c>
      <c r="B734" t="s">
        <v>1942</v>
      </c>
      <c r="C734">
        <v>4</v>
      </c>
      <c r="D734">
        <f t="shared" si="54"/>
        <v>4</v>
      </c>
      <c r="E734" t="str">
        <f t="shared" si="55"/>
        <v/>
      </c>
      <c r="F734" t="str">
        <f t="shared" si="58"/>
        <v>%ADEREZORANCHHELLMANN´S3.7L(4)EC</v>
      </c>
      <c r="G734" t="s">
        <v>3330</v>
      </c>
      <c r="H734" s="2">
        <v>6.4624243190048486E-5</v>
      </c>
    </row>
    <row r="735" spans="1:8" x14ac:dyDescent="0.3">
      <c r="A735" t="s">
        <v>2193</v>
      </c>
      <c r="B735" t="s">
        <v>2194</v>
      </c>
      <c r="C735">
        <v>1</v>
      </c>
      <c r="D735" t="str">
        <f t="shared" si="54"/>
        <v/>
      </c>
      <c r="E735" t="str">
        <f t="shared" si="55"/>
        <v/>
      </c>
      <c r="F735" t="str">
        <f t="shared" si="58"/>
        <v>PAPELHIG.JRMARLIC/12/180MTS</v>
      </c>
      <c r="G735" t="s">
        <v>3456</v>
      </c>
      <c r="H735" s="2">
        <v>6.4496395192459351E-5</v>
      </c>
    </row>
    <row r="736" spans="1:8" x14ac:dyDescent="0.3">
      <c r="A736" t="s">
        <v>1873</v>
      </c>
      <c r="B736" t="s">
        <v>1874</v>
      </c>
      <c r="D736">
        <f t="shared" si="54"/>
        <v>12</v>
      </c>
      <c r="E736" t="str">
        <f t="shared" si="55"/>
        <v/>
      </c>
      <c r="F736" t="str">
        <f t="shared" si="58"/>
        <v>VINOBNCNAC.CALIFORNIWHITEWINE1L(12)</v>
      </c>
      <c r="G736" t="s">
        <v>3296</v>
      </c>
      <c r="H736" s="2">
        <v>6.3961375141855317E-5</v>
      </c>
    </row>
    <row r="737" spans="1:8" x14ac:dyDescent="0.3">
      <c r="A737" t="s">
        <v>181</v>
      </c>
      <c r="B737" t="s">
        <v>182</v>
      </c>
      <c r="C737">
        <v>28</v>
      </c>
      <c r="D737">
        <f t="shared" si="54"/>
        <v>28</v>
      </c>
      <c r="E737" t="str">
        <f t="shared" si="55"/>
        <v/>
      </c>
      <c r="F737" t="str">
        <f t="shared" si="58"/>
        <v>CAJETAQUEMADACORONADO333GR(28)</v>
      </c>
      <c r="G737" t="s">
        <v>2451</v>
      </c>
      <c r="H737" s="2">
        <v>6.3744356384764952E-5</v>
      </c>
    </row>
    <row r="738" spans="1:8" x14ac:dyDescent="0.3">
      <c r="A738" t="s">
        <v>2041</v>
      </c>
      <c r="B738" t="s">
        <v>2042</v>
      </c>
      <c r="C738">
        <v>6</v>
      </c>
      <c r="D738">
        <f t="shared" si="54"/>
        <v>6</v>
      </c>
      <c r="E738" t="str">
        <f t="shared" si="55"/>
        <v/>
      </c>
      <c r="F738" t="str">
        <f t="shared" si="58"/>
        <v>ADEREZOCESARCLEMENTE710ML(6)</v>
      </c>
      <c r="G738" t="s">
        <v>3380</v>
      </c>
      <c r="H738" s="2">
        <v>6.3691215789311859E-5</v>
      </c>
    </row>
    <row r="739" spans="1:8" x14ac:dyDescent="0.3">
      <c r="A739" t="s">
        <v>2289</v>
      </c>
      <c r="B739" t="s">
        <v>2290</v>
      </c>
      <c r="C739">
        <v>6</v>
      </c>
      <c r="D739">
        <f t="shared" si="54"/>
        <v>6</v>
      </c>
      <c r="E739" t="str">
        <f t="shared" si="55"/>
        <v/>
      </c>
      <c r="F739" t="str">
        <f t="shared" si="58"/>
        <v>-ADEREZOMAYONESAMEGA3.65K(6)</v>
      </c>
      <c r="G739" t="s">
        <v>3504</v>
      </c>
      <c r="H739" s="2">
        <v>6.3497322571053546E-5</v>
      </c>
    </row>
    <row r="740" spans="1:8" x14ac:dyDescent="0.3">
      <c r="A740" t="s">
        <v>1337</v>
      </c>
      <c r="B740" t="s">
        <v>1338</v>
      </c>
      <c r="C740">
        <v>12</v>
      </c>
      <c r="D740">
        <f t="shared" si="54"/>
        <v>12</v>
      </c>
      <c r="E740" t="str">
        <f t="shared" si="55"/>
        <v/>
      </c>
      <c r="F740" t="str">
        <f t="shared" si="58"/>
        <v>MOLEDOÑAMARIA430GR.(12)</v>
      </c>
      <c r="G740" t="s">
        <v>3029</v>
      </c>
      <c r="H740" s="2">
        <v>6.3486811316236654E-5</v>
      </c>
    </row>
    <row r="741" spans="1:8" x14ac:dyDescent="0.3">
      <c r="A741" t="s">
        <v>1069</v>
      </c>
      <c r="B741" t="s">
        <v>1070</v>
      </c>
      <c r="C741">
        <v>12</v>
      </c>
      <c r="D741">
        <f t="shared" si="54"/>
        <v>12</v>
      </c>
      <c r="E741" t="str">
        <f t="shared" si="55"/>
        <v/>
      </c>
      <c r="F741" t="str">
        <f t="shared" si="58"/>
        <v>AGUAQUINADATONICAPEÑAFIEL296ML(12)</v>
      </c>
      <c r="G741" t="s">
        <v>2895</v>
      </c>
      <c r="H741" s="2">
        <v>6.3411647425350683E-5</v>
      </c>
    </row>
    <row r="742" spans="1:8" x14ac:dyDescent="0.3">
      <c r="A742" t="s">
        <v>915</v>
      </c>
      <c r="B742" t="s">
        <v>916</v>
      </c>
      <c r="C742">
        <v>24</v>
      </c>
      <c r="D742">
        <f t="shared" si="54"/>
        <v>24</v>
      </c>
      <c r="E742">
        <f t="shared" si="55"/>
        <v>4</v>
      </c>
      <c r="F742" t="str">
        <f>SUBSTITUTE(UPPER(CLEAN(G742))," ","")</f>
        <v>PAPELHIGIENICOIRISC/4PZS160H(24)</v>
      </c>
      <c r="G742" t="s">
        <v>2818</v>
      </c>
      <c r="H742" s="2">
        <v>6.3085618073749716E-5</v>
      </c>
    </row>
    <row r="743" spans="1:8" x14ac:dyDescent="0.3">
      <c r="A743" t="s">
        <v>1959</v>
      </c>
      <c r="B743" t="s">
        <v>1960</v>
      </c>
      <c r="C743">
        <v>1</v>
      </c>
      <c r="D743" t="str">
        <f t="shared" si="54"/>
        <v/>
      </c>
      <c r="E743" t="str">
        <f t="shared" si="55"/>
        <v/>
      </c>
      <c r="F743" t="str">
        <f t="shared" ref="F743:F768" si="59">SUBSTITUTE(UPPER(CLEAN(B743))," ","")</f>
        <v>SOPAKNORRESTRELLA24/95GR.</v>
      </c>
      <c r="G743" t="s">
        <v>3339</v>
      </c>
      <c r="H743" s="2">
        <v>6.1460112157536958E-5</v>
      </c>
    </row>
    <row r="744" spans="1:8" x14ac:dyDescent="0.3">
      <c r="A744" t="s">
        <v>1837</v>
      </c>
      <c r="B744" t="s">
        <v>1838</v>
      </c>
      <c r="C744">
        <v>6</v>
      </c>
      <c r="D744">
        <f t="shared" si="54"/>
        <v>6</v>
      </c>
      <c r="E744" t="str">
        <f t="shared" si="55"/>
        <v/>
      </c>
      <c r="F744" t="str">
        <f t="shared" si="59"/>
        <v>ALCACHOFACORAZONS.MIGUELPOUCH3KG(6)</v>
      </c>
      <c r="G744" t="s">
        <v>3278</v>
      </c>
      <c r="H744" s="2">
        <v>6.1418730134000189E-5</v>
      </c>
    </row>
    <row r="745" spans="1:8" x14ac:dyDescent="0.3">
      <c r="A745" t="s">
        <v>1287</v>
      </c>
      <c r="B745" t="s">
        <v>1288</v>
      </c>
      <c r="C745">
        <v>12</v>
      </c>
      <c r="D745">
        <f t="shared" si="54"/>
        <v>12</v>
      </c>
      <c r="E745" t="str">
        <f t="shared" si="55"/>
        <v/>
      </c>
      <c r="F745" t="str">
        <f t="shared" si="59"/>
        <v>#SALSAKETCHUPHEINZ40OZ1.13K(12)</v>
      </c>
      <c r="G745" t="s">
        <v>3004</v>
      </c>
      <c r="H745" s="2">
        <v>6.1378202632262133E-5</v>
      </c>
    </row>
    <row r="746" spans="1:8" x14ac:dyDescent="0.3">
      <c r="A746" t="s">
        <v>809</v>
      </c>
      <c r="B746" t="s">
        <v>810</v>
      </c>
      <c r="C746">
        <v>1</v>
      </c>
      <c r="D746" t="str">
        <f t="shared" si="54"/>
        <v/>
      </c>
      <c r="E746">
        <f t="shared" si="55"/>
        <v>200</v>
      </c>
      <c r="F746" t="str">
        <f t="shared" si="59"/>
        <v>CONTENEDOR7X7DIVISIONREYMAC/200PZAB</v>
      </c>
      <c r="G746" t="s">
        <v>2765</v>
      </c>
      <c r="H746" s="2">
        <v>6.088792672888325E-5</v>
      </c>
    </row>
    <row r="747" spans="1:8" x14ac:dyDescent="0.3">
      <c r="A747" t="s">
        <v>297</v>
      </c>
      <c r="B747" t="s">
        <v>298</v>
      </c>
      <c r="C747">
        <v>12</v>
      </c>
      <c r="D747">
        <f t="shared" si="54"/>
        <v>12</v>
      </c>
      <c r="E747" t="str">
        <f t="shared" si="55"/>
        <v/>
      </c>
      <c r="F747" t="str">
        <f t="shared" si="59"/>
        <v>ZUKOFRESAC/8/13G(12)</v>
      </c>
      <c r="G747" t="s">
        <v>2509</v>
      </c>
      <c r="H747" s="2">
        <v>6.0633869438575992E-5</v>
      </c>
    </row>
    <row r="748" spans="1:8" x14ac:dyDescent="0.3">
      <c r="A748" t="s">
        <v>1514</v>
      </c>
      <c r="B748" t="s">
        <v>1515</v>
      </c>
      <c r="C748">
        <v>4</v>
      </c>
      <c r="D748">
        <f t="shared" si="54"/>
        <v>4</v>
      </c>
      <c r="E748" t="str">
        <f t="shared" si="55"/>
        <v/>
      </c>
      <c r="F748" t="str">
        <f t="shared" si="59"/>
        <v>PUREDETOMATECOSTEÑABOLSA3KG(4)</v>
      </c>
      <c r="G748" t="s">
        <v>3117</v>
      </c>
      <c r="H748" s="2">
        <v>6.0577352892034577E-5</v>
      </c>
    </row>
    <row r="749" spans="1:8" x14ac:dyDescent="0.3">
      <c r="A749" t="s">
        <v>699</v>
      </c>
      <c r="B749" t="s">
        <v>700</v>
      </c>
      <c r="C749">
        <v>1</v>
      </c>
      <c r="D749" t="str">
        <f t="shared" si="54"/>
        <v/>
      </c>
      <c r="E749" t="str">
        <f t="shared" si="55"/>
        <v/>
      </c>
      <c r="F749" t="str">
        <f t="shared" si="59"/>
        <v>-SOPANISSINPOLLO12/64GR.</v>
      </c>
      <c r="G749" t="s">
        <v>2710</v>
      </c>
      <c r="H749" s="2">
        <v>5.8898663525823876E-5</v>
      </c>
    </row>
    <row r="750" spans="1:8" x14ac:dyDescent="0.3">
      <c r="A750" t="s">
        <v>261</v>
      </c>
      <c r="B750" t="s">
        <v>262</v>
      </c>
      <c r="C750">
        <v>12</v>
      </c>
      <c r="D750">
        <f t="shared" si="54"/>
        <v>12</v>
      </c>
      <c r="E750" t="str">
        <f t="shared" si="55"/>
        <v/>
      </c>
      <c r="F750" t="str">
        <f t="shared" si="59"/>
        <v>TANGLIMONC/8/13G(12)</v>
      </c>
      <c r="G750" t="s">
        <v>2491</v>
      </c>
      <c r="H750" s="2">
        <v>5.8738306865440507E-5</v>
      </c>
    </row>
    <row r="751" spans="1:8" x14ac:dyDescent="0.3">
      <c r="A751" t="s">
        <v>1404</v>
      </c>
      <c r="B751" t="s">
        <v>1405</v>
      </c>
      <c r="C751">
        <v>6</v>
      </c>
      <c r="D751" t="str">
        <f t="shared" si="54"/>
        <v/>
      </c>
      <c r="E751" t="str">
        <f t="shared" si="55"/>
        <v/>
      </c>
      <c r="F751" t="str">
        <f t="shared" si="59"/>
        <v>C.CHIPOTLEADOBADOS.MIGUEL2.85KPCH6</v>
      </c>
      <c r="G751" t="s">
        <v>3062</v>
      </c>
      <c r="H751" s="2">
        <v>5.852261677450352E-5</v>
      </c>
    </row>
    <row r="752" spans="1:8" x14ac:dyDescent="0.3">
      <c r="A752" t="s">
        <v>1783</v>
      </c>
      <c r="B752" t="s">
        <v>1784</v>
      </c>
      <c r="C752">
        <v>8</v>
      </c>
      <c r="D752">
        <f t="shared" si="54"/>
        <v>8</v>
      </c>
      <c r="E752" t="str">
        <f t="shared" si="55"/>
        <v/>
      </c>
      <c r="F752" t="str">
        <f t="shared" si="59"/>
        <v>MOSTAZADIJONS.Q.FRENCHS340G(8)</v>
      </c>
      <c r="G752" t="s">
        <v>3251</v>
      </c>
      <c r="H752" s="2">
        <v>5.7995348222479351E-5</v>
      </c>
    </row>
    <row r="753" spans="1:8" x14ac:dyDescent="0.3">
      <c r="A753" t="s">
        <v>487</v>
      </c>
      <c r="B753" t="s">
        <v>488</v>
      </c>
      <c r="C753">
        <v>6</v>
      </c>
      <c r="D753">
        <f t="shared" si="54"/>
        <v>6</v>
      </c>
      <c r="E753" t="str">
        <f t="shared" si="55"/>
        <v/>
      </c>
      <c r="F753" t="str">
        <f t="shared" si="59"/>
        <v>-BEBIDAREDBULLC/4/250ML(6)</v>
      </c>
      <c r="G753" t="s">
        <v>2604</v>
      </c>
      <c r="H753" s="2">
        <v>5.7933241675698201E-5</v>
      </c>
    </row>
    <row r="754" spans="1:8" x14ac:dyDescent="0.3">
      <c r="A754" t="s">
        <v>2203</v>
      </c>
      <c r="B754" t="s">
        <v>2204</v>
      </c>
      <c r="C754">
        <v>1</v>
      </c>
      <c r="D754" t="str">
        <f t="shared" si="54"/>
        <v/>
      </c>
      <c r="E754" t="str">
        <f t="shared" si="55"/>
        <v/>
      </c>
      <c r="F754" t="str">
        <f t="shared" si="59"/>
        <v>TOALLAENROLLOMARLI6/180MKRAFT-CAFE</v>
      </c>
      <c r="G754" t="s">
        <v>3461</v>
      </c>
      <c r="H754" s="2">
        <v>5.7825387553425722E-5</v>
      </c>
    </row>
    <row r="755" spans="1:8" x14ac:dyDescent="0.3">
      <c r="A755" t="s">
        <v>795</v>
      </c>
      <c r="B755" t="s">
        <v>796</v>
      </c>
      <c r="C755">
        <v>1</v>
      </c>
      <c r="D755" t="str">
        <f t="shared" si="54"/>
        <v/>
      </c>
      <c r="E755" t="str">
        <f t="shared" si="55"/>
        <v/>
      </c>
      <c r="F755" t="str">
        <f t="shared" si="59"/>
        <v>CUCHARAMEDIANAGARDUÑOC/2/500PZS</v>
      </c>
      <c r="G755" t="s">
        <v>2758</v>
      </c>
      <c r="H755" s="2">
        <v>5.7416248859408829E-5</v>
      </c>
    </row>
    <row r="756" spans="1:8" x14ac:dyDescent="0.3">
      <c r="A756" t="s">
        <v>635</v>
      </c>
      <c r="B756" t="s">
        <v>636</v>
      </c>
      <c r="C756">
        <v>12</v>
      </c>
      <c r="D756">
        <f t="shared" si="54"/>
        <v>12</v>
      </c>
      <c r="E756" t="str">
        <f t="shared" si="55"/>
        <v/>
      </c>
      <c r="F756" t="str">
        <f t="shared" si="59"/>
        <v>SALMARDECORTESPRAGNA1.2KGBOTE(12)</v>
      </c>
      <c r="G756" t="s">
        <v>2678</v>
      </c>
      <c r="H756" s="2">
        <v>5.7282499883084645E-5</v>
      </c>
    </row>
    <row r="757" spans="1:8" x14ac:dyDescent="0.3">
      <c r="A757" t="s">
        <v>777</v>
      </c>
      <c r="B757" t="s">
        <v>778</v>
      </c>
      <c r="C757">
        <v>1</v>
      </c>
      <c r="D757" t="str">
        <f t="shared" si="54"/>
        <v/>
      </c>
      <c r="E757" t="str">
        <f t="shared" si="55"/>
        <v/>
      </c>
      <c r="F757" t="str">
        <f t="shared" si="59"/>
        <v>SOUFFLETRANSP.SOLO(S200)2OZ2500</v>
      </c>
      <c r="G757" t="s">
        <v>2749</v>
      </c>
      <c r="H757" s="2">
        <v>5.7026839578002762E-5</v>
      </c>
    </row>
    <row r="758" spans="1:8" x14ac:dyDescent="0.3">
      <c r="A758" t="s">
        <v>301</v>
      </c>
      <c r="B758" t="s">
        <v>302</v>
      </c>
      <c r="C758">
        <v>12</v>
      </c>
      <c r="D758">
        <f t="shared" si="54"/>
        <v>12</v>
      </c>
      <c r="E758" t="str">
        <f t="shared" si="55"/>
        <v/>
      </c>
      <c r="F758" t="str">
        <f t="shared" si="59"/>
        <v>ZUKOMANZANAC/8/13G(12)</v>
      </c>
      <c r="G758" t="s">
        <v>2511</v>
      </c>
      <c r="H758" s="2">
        <v>5.6982242884913717E-5</v>
      </c>
    </row>
    <row r="759" spans="1:8" x14ac:dyDescent="0.3">
      <c r="A759" t="s">
        <v>1360</v>
      </c>
      <c r="B759" t="s">
        <v>1361</v>
      </c>
      <c r="C759">
        <v>12</v>
      </c>
      <c r="D759" t="str">
        <f t="shared" si="54"/>
        <v/>
      </c>
      <c r="E759" t="str">
        <f t="shared" si="55"/>
        <v/>
      </c>
      <c r="F759" t="str">
        <f t="shared" si="59"/>
        <v>HARINAP/PASTELVAINILLAGOLDENBETTY</v>
      </c>
      <c r="G759" t="s">
        <v>3040</v>
      </c>
      <c r="H759" s="2">
        <v>5.6930206559152682E-5</v>
      </c>
    </row>
    <row r="760" spans="1:8" x14ac:dyDescent="0.3">
      <c r="A760" t="s">
        <v>755</v>
      </c>
      <c r="B760" t="s">
        <v>756</v>
      </c>
      <c r="C760">
        <v>1</v>
      </c>
      <c r="D760" t="str">
        <f t="shared" si="54"/>
        <v/>
      </c>
      <c r="E760" t="str">
        <f t="shared" si="55"/>
        <v/>
      </c>
      <c r="F760" t="str">
        <f t="shared" si="59"/>
        <v>-CROUTONESITALIANOMEMBERSM907GR</v>
      </c>
      <c r="G760" t="s">
        <v>2738</v>
      </c>
      <c r="H760" s="2">
        <v>5.6922566973281897E-5</v>
      </c>
    </row>
    <row r="761" spans="1:8" x14ac:dyDescent="0.3">
      <c r="A761" t="s">
        <v>451</v>
      </c>
      <c r="B761" t="s">
        <v>452</v>
      </c>
      <c r="C761">
        <v>12</v>
      </c>
      <c r="D761">
        <f t="shared" si="54"/>
        <v>12</v>
      </c>
      <c r="E761" t="str">
        <f t="shared" si="55"/>
        <v/>
      </c>
      <c r="F761" t="str">
        <f t="shared" si="59"/>
        <v>HARINAP/PASTELCHTEDEVIDUNCAN432G(12</v>
      </c>
      <c r="G761" t="s">
        <v>2586</v>
      </c>
      <c r="H761" s="2">
        <v>5.6804226039044009E-5</v>
      </c>
    </row>
    <row r="762" spans="1:8" x14ac:dyDescent="0.3">
      <c r="A762" t="s">
        <v>2031</v>
      </c>
      <c r="B762" t="s">
        <v>2032</v>
      </c>
      <c r="C762">
        <v>6</v>
      </c>
      <c r="D762">
        <f t="shared" si="54"/>
        <v>6</v>
      </c>
      <c r="E762" t="str">
        <f t="shared" si="55"/>
        <v/>
      </c>
      <c r="F762" t="str">
        <f t="shared" si="59"/>
        <v>%KNORRCALDOCAMARON1.6K(6)</v>
      </c>
      <c r="G762" t="s">
        <v>3375</v>
      </c>
      <c r="H762" s="2">
        <v>5.6735789639050224E-5</v>
      </c>
    </row>
    <row r="763" spans="1:8" x14ac:dyDescent="0.3">
      <c r="A763" t="s">
        <v>1765</v>
      </c>
      <c r="B763" t="s">
        <v>1766</v>
      </c>
      <c r="C763">
        <v>6</v>
      </c>
      <c r="D763">
        <f t="shared" si="54"/>
        <v>6</v>
      </c>
      <c r="E763" t="str">
        <f t="shared" si="55"/>
        <v/>
      </c>
      <c r="F763" t="str">
        <f t="shared" si="59"/>
        <v>PEREJILPICADOMC56G(6)</v>
      </c>
      <c r="G763" t="s">
        <v>3242</v>
      </c>
      <c r="H763" s="2">
        <v>5.6434011831990549E-5</v>
      </c>
    </row>
    <row r="764" spans="1:8" x14ac:dyDescent="0.3">
      <c r="A764" t="s">
        <v>1897</v>
      </c>
      <c r="B764" t="s">
        <v>1898</v>
      </c>
      <c r="D764">
        <f t="shared" si="54"/>
        <v>6</v>
      </c>
      <c r="E764" t="str">
        <f t="shared" si="55"/>
        <v/>
      </c>
      <c r="F764" t="str">
        <f t="shared" si="59"/>
        <v>-CHILERAJASHERDEZ2.8K(6)</v>
      </c>
      <c r="G764" t="s">
        <v>3308</v>
      </c>
      <c r="H764" s="2">
        <v>5.5279038824160579E-5</v>
      </c>
    </row>
    <row r="765" spans="1:8" x14ac:dyDescent="0.3">
      <c r="A765" t="s">
        <v>2185</v>
      </c>
      <c r="B765" t="s">
        <v>2186</v>
      </c>
      <c r="C765">
        <v>24</v>
      </c>
      <c r="D765">
        <f t="shared" si="54"/>
        <v>24</v>
      </c>
      <c r="E765">
        <f t="shared" si="55"/>
        <v>25</v>
      </c>
      <c r="F765" t="str">
        <f t="shared" si="59"/>
        <v>TEHIERBABUENAMC.C/25PZA(24)</v>
      </c>
      <c r="G765" t="s">
        <v>3452</v>
      </c>
      <c r="H765" s="2">
        <v>5.4846753933630156E-5</v>
      </c>
    </row>
    <row r="766" spans="1:8" x14ac:dyDescent="0.3">
      <c r="A766" t="s">
        <v>63</v>
      </c>
      <c r="B766" t="s">
        <v>64</v>
      </c>
      <c r="C766">
        <v>24</v>
      </c>
      <c r="D766">
        <f t="shared" si="54"/>
        <v>24</v>
      </c>
      <c r="E766" t="str">
        <f t="shared" si="55"/>
        <v/>
      </c>
      <c r="F766" t="str">
        <f t="shared" si="59"/>
        <v>-ACEITECRISTAL500ML(24)</v>
      </c>
      <c r="G766" t="s">
        <v>2392</v>
      </c>
      <c r="H766" s="2">
        <v>5.484460774210819E-5</v>
      </c>
    </row>
    <row r="767" spans="1:8" x14ac:dyDescent="0.3">
      <c r="A767" t="s">
        <v>1831</v>
      </c>
      <c r="B767" t="s">
        <v>1832</v>
      </c>
      <c r="C767">
        <v>12</v>
      </c>
      <c r="D767">
        <f t="shared" si="54"/>
        <v>12</v>
      </c>
      <c r="E767" t="str">
        <f t="shared" si="55"/>
        <v/>
      </c>
      <c r="F767" t="str">
        <f t="shared" si="59"/>
        <v>ESPARRAGOSBLANCOSSANMIGUEL530GR(12)</v>
      </c>
      <c r="G767" t="s">
        <v>3275</v>
      </c>
      <c r="H767" s="2">
        <v>5.4429750128388838E-5</v>
      </c>
    </row>
    <row r="768" spans="1:8" x14ac:dyDescent="0.3">
      <c r="A768" t="s">
        <v>743</v>
      </c>
      <c r="B768" t="s">
        <v>744</v>
      </c>
      <c r="C768">
        <v>14</v>
      </c>
      <c r="D768">
        <f t="shared" si="54"/>
        <v>14</v>
      </c>
      <c r="E768" t="str">
        <f t="shared" si="55"/>
        <v/>
      </c>
      <c r="F768" t="str">
        <f t="shared" si="59"/>
        <v>GOLOSTAMARINDOBOKADOS490GR(14)</v>
      </c>
      <c r="G768" t="s">
        <v>2732</v>
      </c>
      <c r="H768" s="2">
        <v>5.4126739233040988E-5</v>
      </c>
    </row>
    <row r="769" spans="1:8" x14ac:dyDescent="0.3">
      <c r="A769" t="s">
        <v>917</v>
      </c>
      <c r="B769" t="s">
        <v>918</v>
      </c>
      <c r="C769">
        <v>12</v>
      </c>
      <c r="D769">
        <f t="shared" si="54"/>
        <v>12</v>
      </c>
      <c r="E769">
        <f t="shared" si="55"/>
        <v>100</v>
      </c>
      <c r="F769" t="str">
        <f>SUBSTITUTE(UPPER(CLEAN(G769))," ","")</f>
        <v>SERVILLETAKLEENEXELEGANC/100PZA.(12)</v>
      </c>
      <c r="G769" t="s">
        <v>2819</v>
      </c>
      <c r="H769" s="2">
        <v>5.3755412162574364E-5</v>
      </c>
    </row>
    <row r="770" spans="1:8" x14ac:dyDescent="0.3">
      <c r="A770" t="s">
        <v>1825</v>
      </c>
      <c r="B770" t="s">
        <v>1826</v>
      </c>
      <c r="C770">
        <v>24</v>
      </c>
      <c r="D770">
        <f t="shared" ref="D770:D833" si="60">IFERROR(VALUE(IFERROR(
    MID(G770,FIND("(",G770)+1,FIND(")",G770)-FIND("(",G770)-1),
    IFERROR(
        MID(G770,FIND("(",G770)+1,LEN(G770)-FIND("(",G770)),
        ""
    )
)),"")</f>
        <v>24</v>
      </c>
      <c r="E770" t="str">
        <f t="shared" ref="E770:E833" si="61">IFERROR(VALUE(MID(SUBSTITUTE(G770," ",""),
FIND("/",SUBSTITUTE(G770," ",""))+1,
MIN(IFERROR(FIND("PZS",SUBSTITUTE(G770," ","")),999),
    IFERROR(FIND("PZA",SUBSTITUTE(G770," ","")),999))
-FIND("/",SUBSTITUTE(G770," ",""))-1)),"")</f>
        <v/>
      </c>
      <c r="F770" t="str">
        <f t="shared" ref="F770:F780" si="62">SUBSTITUTE(UPPER(CLEAN(B770))," ","")</f>
        <v>CHILEPIMIENTOMORRONSANMIGUEL185G(24</v>
      </c>
      <c r="G770" t="s">
        <v>3272</v>
      </c>
      <c r="H770" s="2">
        <v>5.3719902303828698E-5</v>
      </c>
    </row>
    <row r="771" spans="1:8" x14ac:dyDescent="0.3">
      <c r="A771" t="s">
        <v>1019</v>
      </c>
      <c r="B771" t="s">
        <v>1020</v>
      </c>
      <c r="C771">
        <v>24</v>
      </c>
      <c r="D771">
        <f t="shared" si="60"/>
        <v>24</v>
      </c>
      <c r="E771" t="str">
        <f t="shared" si="61"/>
        <v/>
      </c>
      <c r="F771" t="str">
        <f t="shared" si="62"/>
        <v>CHICHARODELMONTE200GR(24)</v>
      </c>
      <c r="G771" t="s">
        <v>2870</v>
      </c>
      <c r="H771" s="2">
        <v>5.3532619832225885E-5</v>
      </c>
    </row>
    <row r="772" spans="1:8" x14ac:dyDescent="0.3">
      <c r="A772" t="s">
        <v>1682</v>
      </c>
      <c r="B772" t="s">
        <v>1683</v>
      </c>
      <c r="C772">
        <v>24</v>
      </c>
      <c r="D772">
        <f t="shared" si="60"/>
        <v>24</v>
      </c>
      <c r="E772">
        <f t="shared" si="61"/>
        <v>25</v>
      </c>
      <c r="F772" t="str">
        <f t="shared" si="62"/>
        <v>TENEGROMCC/25PZA(24)</v>
      </c>
      <c r="G772" t="s">
        <v>3201</v>
      </c>
      <c r="H772" s="2">
        <v>5.3133774337515577E-5</v>
      </c>
    </row>
    <row r="773" spans="1:8" x14ac:dyDescent="0.3">
      <c r="A773" t="s">
        <v>1568</v>
      </c>
      <c r="B773" t="s">
        <v>1569</v>
      </c>
      <c r="C773">
        <v>48</v>
      </c>
      <c r="D773">
        <f t="shared" si="60"/>
        <v>48</v>
      </c>
      <c r="E773" t="str">
        <f t="shared" si="61"/>
        <v/>
      </c>
      <c r="F773" t="str">
        <f t="shared" si="62"/>
        <v>MANTECAINCA250G(48)</v>
      </c>
      <c r="G773" t="s">
        <v>3144</v>
      </c>
      <c r="H773" s="2">
        <v>5.2569033218144507E-5</v>
      </c>
    </row>
    <row r="774" spans="1:8" x14ac:dyDescent="0.3">
      <c r="A774" t="s">
        <v>399</v>
      </c>
      <c r="B774" t="s">
        <v>400</v>
      </c>
      <c r="C774">
        <v>4</v>
      </c>
      <c r="D774">
        <f t="shared" si="60"/>
        <v>4</v>
      </c>
      <c r="E774" t="str">
        <f t="shared" si="61"/>
        <v/>
      </c>
      <c r="F774" t="str">
        <f t="shared" si="62"/>
        <v>CEREZACONRABOLOL-TUN4K(4)</v>
      </c>
      <c r="G774" t="s">
        <v>2560</v>
      </c>
      <c r="H774" s="2">
        <v>5.2331527097228092E-5</v>
      </c>
    </row>
    <row r="775" spans="1:8" x14ac:dyDescent="0.3">
      <c r="A775" t="s">
        <v>1558</v>
      </c>
      <c r="B775" t="s">
        <v>1559</v>
      </c>
      <c r="C775">
        <v>12</v>
      </c>
      <c r="D775">
        <f t="shared" si="60"/>
        <v>8</v>
      </c>
      <c r="E775" t="str">
        <f t="shared" si="61"/>
        <v/>
      </c>
      <c r="F775" t="str">
        <f t="shared" si="62"/>
        <v>GALLETASBARRADECOCOGAMESA490G(8)</v>
      </c>
      <c r="G775" t="s">
        <v>3139</v>
      </c>
      <c r="H775" s="2">
        <v>5.2297781581075004E-5</v>
      </c>
    </row>
    <row r="776" spans="1:8" x14ac:dyDescent="0.3">
      <c r="A776" t="s">
        <v>2311</v>
      </c>
      <c r="B776" t="s">
        <v>2312</v>
      </c>
      <c r="C776">
        <v>12</v>
      </c>
      <c r="D776">
        <f t="shared" si="60"/>
        <v>12</v>
      </c>
      <c r="E776" t="str">
        <f t="shared" si="61"/>
        <v/>
      </c>
      <c r="F776" t="str">
        <f t="shared" si="62"/>
        <v>SAZONADORMANTEQUIL.C/SALPRAGNA900G(12</v>
      </c>
      <c r="G776" t="s">
        <v>3515</v>
      </c>
      <c r="H776" s="2">
        <v>5.2166635038158453E-5</v>
      </c>
    </row>
    <row r="777" spans="1:8" x14ac:dyDescent="0.3">
      <c r="A777" t="s">
        <v>1307</v>
      </c>
      <c r="B777" t="s">
        <v>1308</v>
      </c>
      <c r="C777">
        <v>4</v>
      </c>
      <c r="D777">
        <f t="shared" si="60"/>
        <v>4</v>
      </c>
      <c r="E777" t="str">
        <f t="shared" si="61"/>
        <v/>
      </c>
      <c r="F777" t="str">
        <f t="shared" si="62"/>
        <v>%MOSTAZAHELLMANS3.8KG(4)</v>
      </c>
      <c r="G777" t="s">
        <v>3014</v>
      </c>
      <c r="H777" s="2">
        <v>5.130962572987348E-5</v>
      </c>
    </row>
    <row r="778" spans="1:8" x14ac:dyDescent="0.3">
      <c r="A778" t="s">
        <v>945</v>
      </c>
      <c r="B778" t="s">
        <v>946</v>
      </c>
      <c r="C778">
        <v>10</v>
      </c>
      <c r="D778">
        <f t="shared" si="60"/>
        <v>10</v>
      </c>
      <c r="E778">
        <f t="shared" si="61"/>
        <v>100</v>
      </c>
      <c r="F778" t="str">
        <f t="shared" si="62"/>
        <v>GORRAESCAFANDRAC/100PZAS(10)</v>
      </c>
      <c r="G778" t="s">
        <v>2833</v>
      </c>
      <c r="H778" s="2">
        <v>5.0863658798983063E-5</v>
      </c>
    </row>
    <row r="779" spans="1:8" x14ac:dyDescent="0.3">
      <c r="A779" t="s">
        <v>2067</v>
      </c>
      <c r="B779" t="s">
        <v>2068</v>
      </c>
      <c r="C779">
        <v>4</v>
      </c>
      <c r="D779">
        <f t="shared" si="60"/>
        <v>4</v>
      </c>
      <c r="E779" t="str">
        <f t="shared" si="61"/>
        <v/>
      </c>
      <c r="F779" t="str">
        <f t="shared" si="62"/>
        <v>VINAGREMANZANACLEMENTE3.7L(4</v>
      </c>
      <c r="G779" t="s">
        <v>3393</v>
      </c>
      <c r="H779" s="2">
        <v>5.0570882536427068E-5</v>
      </c>
    </row>
    <row r="780" spans="1:8" x14ac:dyDescent="0.3">
      <c r="A780" t="s">
        <v>1031</v>
      </c>
      <c r="B780" t="s">
        <v>1032</v>
      </c>
      <c r="C780">
        <v>24</v>
      </c>
      <c r="D780">
        <f t="shared" si="60"/>
        <v>24</v>
      </c>
      <c r="E780" t="str">
        <f t="shared" si="61"/>
        <v/>
      </c>
      <c r="F780" t="str">
        <f t="shared" si="62"/>
        <v>ENSALADAVERDURASDELMONTE400GR(24)</v>
      </c>
      <c r="G780" t="s">
        <v>2876</v>
      </c>
      <c r="H780" s="2">
        <v>5.0299215983973749E-5</v>
      </c>
    </row>
    <row r="781" spans="1:8" x14ac:dyDescent="0.3">
      <c r="A781" t="s">
        <v>841</v>
      </c>
      <c r="B781" t="s">
        <v>842</v>
      </c>
      <c r="C781">
        <v>12</v>
      </c>
      <c r="D781">
        <f t="shared" si="60"/>
        <v>12</v>
      </c>
      <c r="E781" t="str">
        <f t="shared" si="61"/>
        <v/>
      </c>
      <c r="F781" t="str">
        <f>SUBSTITUTE(UPPER(CLEAN(G781))," ","")</f>
        <v>-SALVOLIMONLIQ.900ML(12)</v>
      </c>
      <c r="G781" t="s">
        <v>2781</v>
      </c>
      <c r="H781" s="2">
        <v>5.0295944951106701E-5</v>
      </c>
    </row>
    <row r="782" spans="1:8" x14ac:dyDescent="0.3">
      <c r="A782" t="s">
        <v>1604</v>
      </c>
      <c r="B782" t="s">
        <v>1605</v>
      </c>
      <c r="C782">
        <v>12</v>
      </c>
      <c r="D782" t="str">
        <f t="shared" si="60"/>
        <v/>
      </c>
      <c r="E782" t="str">
        <f t="shared" si="61"/>
        <v/>
      </c>
      <c r="F782" t="str">
        <f t="shared" ref="F782:F805" si="63">SUBSTITUTE(UPPER(CLEAN(B782))," ","")</f>
        <v>ADEREZOVINAGREBALSAMICOCARBONELL275G</v>
      </c>
      <c r="G782" t="s">
        <v>3162</v>
      </c>
      <c r="H782" s="2">
        <v>5.0172677225232016E-5</v>
      </c>
    </row>
    <row r="783" spans="1:8" x14ac:dyDescent="0.3">
      <c r="A783" t="s">
        <v>595</v>
      </c>
      <c r="B783" t="s">
        <v>596</v>
      </c>
      <c r="C783">
        <v>3</v>
      </c>
      <c r="D783">
        <f t="shared" si="60"/>
        <v>3</v>
      </c>
      <c r="E783" t="str">
        <f t="shared" si="61"/>
        <v/>
      </c>
      <c r="F783" t="str">
        <f t="shared" si="63"/>
        <v>PASTAFETTUCCINEBARILLA4KG(3)</v>
      </c>
      <c r="G783" t="s">
        <v>2658</v>
      </c>
      <c r="H783" s="2">
        <v>5.0129889061632298E-5</v>
      </c>
    </row>
    <row r="784" spans="1:8" x14ac:dyDescent="0.3">
      <c r="A784" t="s">
        <v>259</v>
      </c>
      <c r="B784" t="s">
        <v>260</v>
      </c>
      <c r="C784">
        <v>12</v>
      </c>
      <c r="D784">
        <f t="shared" si="60"/>
        <v>12</v>
      </c>
      <c r="E784" t="str">
        <f t="shared" si="61"/>
        <v/>
      </c>
      <c r="F784" t="str">
        <f t="shared" si="63"/>
        <v>TANGJAMAICAC/8/13G(12)</v>
      </c>
      <c r="G784" t="s">
        <v>2490</v>
      </c>
      <c r="H784" s="2">
        <v>4.9999210127332574E-5</v>
      </c>
    </row>
    <row r="785" spans="1:8" x14ac:dyDescent="0.3">
      <c r="A785" t="s">
        <v>791</v>
      </c>
      <c r="B785" t="s">
        <v>792</v>
      </c>
      <c r="C785">
        <v>1</v>
      </c>
      <c r="D785" t="str">
        <f t="shared" si="60"/>
        <v/>
      </c>
      <c r="E785" t="str">
        <f t="shared" si="61"/>
        <v/>
      </c>
      <c r="F785" t="str">
        <f t="shared" si="63"/>
        <v>TENEDORMEDIANOGARDUÑOC/2/500PZS</v>
      </c>
      <c r="G785" t="s">
        <v>2756</v>
      </c>
      <c r="H785" s="2">
        <v>4.9832427063581242E-5</v>
      </c>
    </row>
    <row r="786" spans="1:8" x14ac:dyDescent="0.3">
      <c r="A786" t="s">
        <v>269</v>
      </c>
      <c r="B786" t="s">
        <v>270</v>
      </c>
      <c r="C786">
        <v>12</v>
      </c>
      <c r="D786">
        <f t="shared" si="60"/>
        <v>12</v>
      </c>
      <c r="E786" t="str">
        <f t="shared" si="61"/>
        <v/>
      </c>
      <c r="F786" t="str">
        <f t="shared" si="63"/>
        <v>TANGPIÑAC/8/13G(12)</v>
      </c>
      <c r="G786" t="s">
        <v>2495</v>
      </c>
      <c r="H786" s="2">
        <v>4.9404496197520643E-5</v>
      </c>
    </row>
    <row r="787" spans="1:8" x14ac:dyDescent="0.3">
      <c r="A787" t="s">
        <v>673</v>
      </c>
      <c r="B787" t="s">
        <v>674</v>
      </c>
      <c r="C787">
        <v>24</v>
      </c>
      <c r="D787">
        <f t="shared" si="60"/>
        <v>24</v>
      </c>
      <c r="E787" t="str">
        <f t="shared" si="61"/>
        <v/>
      </c>
      <c r="F787" t="str">
        <f t="shared" si="63"/>
        <v>SARDINAENTOMATEGUAYMEX425GR(24)</v>
      </c>
      <c r="G787" t="s">
        <v>2697</v>
      </c>
      <c r="H787" s="2">
        <v>4.9374622485124331E-5</v>
      </c>
    </row>
    <row r="788" spans="1:8" x14ac:dyDescent="0.3">
      <c r="A788" t="s">
        <v>425</v>
      </c>
      <c r="B788" t="s">
        <v>426</v>
      </c>
      <c r="C788">
        <v>50</v>
      </c>
      <c r="D788">
        <f t="shared" si="60"/>
        <v>50</v>
      </c>
      <c r="E788" t="str">
        <f t="shared" si="61"/>
        <v/>
      </c>
      <c r="F788" t="str">
        <f t="shared" si="63"/>
        <v>GELATINANARANJAD´GARI120G(50)</v>
      </c>
      <c r="G788" t="s">
        <v>2573</v>
      </c>
      <c r="H788" s="2">
        <v>4.9358880057978617E-5</v>
      </c>
    </row>
    <row r="789" spans="1:8" x14ac:dyDescent="0.3">
      <c r="A789" t="s">
        <v>1147</v>
      </c>
      <c r="B789" t="s">
        <v>1148</v>
      </c>
      <c r="C789">
        <v>50</v>
      </c>
      <c r="D789">
        <f t="shared" si="60"/>
        <v>50</v>
      </c>
      <c r="E789" t="str">
        <f t="shared" si="61"/>
        <v/>
      </c>
      <c r="F789" t="str">
        <f t="shared" si="63"/>
        <v>CEREALCORNPOPSKELLOGG´S30G(50)</v>
      </c>
      <c r="G789" t="s">
        <v>2934</v>
      </c>
      <c r="H789" s="2">
        <v>4.902286244721524E-5</v>
      </c>
    </row>
    <row r="790" spans="1:8" x14ac:dyDescent="0.3">
      <c r="A790" t="s">
        <v>71</v>
      </c>
      <c r="B790" t="s">
        <v>72</v>
      </c>
      <c r="C790">
        <v>24</v>
      </c>
      <c r="D790">
        <f t="shared" si="60"/>
        <v>24</v>
      </c>
      <c r="E790" t="str">
        <f t="shared" si="61"/>
        <v/>
      </c>
      <c r="F790" t="str">
        <f t="shared" si="63"/>
        <v>-ACEITE123500ML.(24)</v>
      </c>
      <c r="G790" t="s">
        <v>2396</v>
      </c>
      <c r="H790" s="2">
        <v>4.8829227535263969E-5</v>
      </c>
    </row>
    <row r="791" spans="1:8" x14ac:dyDescent="0.3">
      <c r="A791" t="s">
        <v>2225</v>
      </c>
      <c r="B791" t="s">
        <v>2226</v>
      </c>
      <c r="C791">
        <v>6</v>
      </c>
      <c r="D791">
        <f t="shared" si="60"/>
        <v>6</v>
      </c>
      <c r="E791" t="str">
        <f t="shared" si="61"/>
        <v/>
      </c>
      <c r="F791" t="str">
        <f t="shared" si="63"/>
        <v>ACEITUNANEGRAREBANADAASTRA3K(6)</v>
      </c>
      <c r="G791" t="s">
        <v>3472</v>
      </c>
      <c r="H791" s="2">
        <v>4.750420444299719E-5</v>
      </c>
    </row>
    <row r="792" spans="1:8" x14ac:dyDescent="0.3">
      <c r="A792" t="s">
        <v>931</v>
      </c>
      <c r="B792" t="s">
        <v>932</v>
      </c>
      <c r="C792">
        <v>48</v>
      </c>
      <c r="D792">
        <f t="shared" si="60"/>
        <v>48</v>
      </c>
      <c r="E792" t="str">
        <f t="shared" si="61"/>
        <v/>
      </c>
      <c r="F792" t="str">
        <f t="shared" si="63"/>
        <v>PALILLOESTUCHADOSOGAC/1000(48)</v>
      </c>
      <c r="G792" t="s">
        <v>2826</v>
      </c>
      <c r="H792" s="2">
        <v>4.7487255196248608E-5</v>
      </c>
    </row>
    <row r="793" spans="1:8" x14ac:dyDescent="0.3">
      <c r="A793" t="s">
        <v>1841</v>
      </c>
      <c r="B793" t="s">
        <v>1842</v>
      </c>
      <c r="C793">
        <v>12</v>
      </c>
      <c r="D793">
        <f t="shared" si="60"/>
        <v>12</v>
      </c>
      <c r="E793" t="str">
        <f t="shared" si="61"/>
        <v/>
      </c>
      <c r="F793" t="str">
        <f t="shared" si="63"/>
        <v>ELOTITOTIERNOSANMIGUEL425GR(12)</v>
      </c>
      <c r="G793" t="s">
        <v>3280</v>
      </c>
      <c r="H793" s="2">
        <v>4.7311131440747218E-5</v>
      </c>
    </row>
    <row r="794" spans="1:8" x14ac:dyDescent="0.3">
      <c r="A794" t="s">
        <v>593</v>
      </c>
      <c r="B794" t="s">
        <v>594</v>
      </c>
      <c r="C794">
        <v>20</v>
      </c>
      <c r="D794">
        <f t="shared" si="60"/>
        <v>20</v>
      </c>
      <c r="E794" t="str">
        <f t="shared" si="61"/>
        <v/>
      </c>
      <c r="F794" t="str">
        <f t="shared" si="63"/>
        <v>-CODOC/QUESOMODERNA200GR(20)</v>
      </c>
      <c r="G794" t="s">
        <v>2657</v>
      </c>
      <c r="H794" s="2">
        <v>4.7304405280850526E-5</v>
      </c>
    </row>
    <row r="795" spans="1:8" x14ac:dyDescent="0.3">
      <c r="A795" t="s">
        <v>273</v>
      </c>
      <c r="B795" t="s">
        <v>274</v>
      </c>
      <c r="C795">
        <v>12</v>
      </c>
      <c r="D795">
        <f t="shared" si="60"/>
        <v>12</v>
      </c>
      <c r="E795" t="str">
        <f t="shared" si="61"/>
        <v/>
      </c>
      <c r="F795" t="str">
        <f t="shared" si="63"/>
        <v>TANGUVAC/8/13G(12)</v>
      </c>
      <c r="G795" t="s">
        <v>2497</v>
      </c>
      <c r="H795" s="2">
        <v>4.7006277160491122E-5</v>
      </c>
    </row>
    <row r="796" spans="1:8" x14ac:dyDescent="0.3">
      <c r="A796" t="s">
        <v>539</v>
      </c>
      <c r="B796" t="s">
        <v>540</v>
      </c>
      <c r="C796">
        <v>12</v>
      </c>
      <c r="D796">
        <f t="shared" si="60"/>
        <v>12</v>
      </c>
      <c r="E796" t="str">
        <f t="shared" si="61"/>
        <v/>
      </c>
      <c r="F796" t="str">
        <f t="shared" si="63"/>
        <v>-MERMELADACHABACANOCLEMENTE470G(12)</v>
      </c>
      <c r="G796" t="s">
        <v>2630</v>
      </c>
      <c r="H796" s="2">
        <v>4.69066784822254E-5</v>
      </c>
    </row>
    <row r="797" spans="1:8" x14ac:dyDescent="0.3">
      <c r="A797" t="s">
        <v>265</v>
      </c>
      <c r="B797" t="s">
        <v>266</v>
      </c>
      <c r="C797">
        <v>12</v>
      </c>
      <c r="D797">
        <f t="shared" si="60"/>
        <v>12</v>
      </c>
      <c r="E797" t="str">
        <f t="shared" si="61"/>
        <v/>
      </c>
      <c r="F797" t="str">
        <f t="shared" si="63"/>
        <v>TANGMELONC/8/13G(12)</v>
      </c>
      <c r="G797" t="s">
        <v>2493</v>
      </c>
      <c r="H797" s="2">
        <v>4.581523093541764E-5</v>
      </c>
    </row>
    <row r="798" spans="1:8" x14ac:dyDescent="0.3">
      <c r="A798" t="s">
        <v>423</v>
      </c>
      <c r="B798" t="s">
        <v>424</v>
      </c>
      <c r="C798">
        <v>50</v>
      </c>
      <c r="D798">
        <f t="shared" si="60"/>
        <v>50</v>
      </c>
      <c r="E798" t="str">
        <f t="shared" si="61"/>
        <v/>
      </c>
      <c r="F798" t="str">
        <f t="shared" si="63"/>
        <v>GELATINAPIÑAD´GARI120G(50)</v>
      </c>
      <c r="G798" t="s">
        <v>2572</v>
      </c>
      <c r="H798" s="2">
        <v>4.5770593139385661E-5</v>
      </c>
    </row>
    <row r="799" spans="1:8" x14ac:dyDescent="0.3">
      <c r="A799" t="s">
        <v>427</v>
      </c>
      <c r="B799" t="s">
        <v>428</v>
      </c>
      <c r="C799">
        <v>50</v>
      </c>
      <c r="D799">
        <f t="shared" si="60"/>
        <v>50</v>
      </c>
      <c r="E799" t="str">
        <f t="shared" si="61"/>
        <v/>
      </c>
      <c r="F799" t="str">
        <f t="shared" si="63"/>
        <v>GELATINALIMÓND´GARI120G(50)</v>
      </c>
      <c r="G799" t="s">
        <v>2574</v>
      </c>
      <c r="H799" s="2">
        <v>4.5770593139385661E-5</v>
      </c>
    </row>
    <row r="800" spans="1:8" x14ac:dyDescent="0.3">
      <c r="A800" t="s">
        <v>2229</v>
      </c>
      <c r="B800" t="s">
        <v>2230</v>
      </c>
      <c r="C800">
        <v>10</v>
      </c>
      <c r="D800">
        <f t="shared" si="60"/>
        <v>10</v>
      </c>
      <c r="E800" t="str">
        <f t="shared" si="61"/>
        <v/>
      </c>
      <c r="F800" t="str">
        <f t="shared" si="63"/>
        <v>GUANTEDESHEC.INTERPLASTGDE.C/100(10</v>
      </c>
      <c r="G800" t="s">
        <v>3474</v>
      </c>
      <c r="H800" s="2">
        <v>4.5411764447526367E-5</v>
      </c>
    </row>
    <row r="801" spans="1:8" x14ac:dyDescent="0.3">
      <c r="A801" t="s">
        <v>1141</v>
      </c>
      <c r="B801" t="s">
        <v>1142</v>
      </c>
      <c r="C801">
        <v>28</v>
      </c>
      <c r="D801">
        <f t="shared" si="60"/>
        <v>28</v>
      </c>
      <c r="E801" t="str">
        <f t="shared" si="61"/>
        <v/>
      </c>
      <c r="F801" t="str">
        <f t="shared" si="63"/>
        <v>CEREALCORNFLAKESKELLOGG'S150G(28)</v>
      </c>
      <c r="G801" t="s">
        <v>2931</v>
      </c>
      <c r="H801" s="2">
        <v>4.5284813808072189E-5</v>
      </c>
    </row>
    <row r="802" spans="1:8" x14ac:dyDescent="0.3">
      <c r="A802" t="s">
        <v>299</v>
      </c>
      <c r="B802" t="s">
        <v>300</v>
      </c>
      <c r="C802">
        <v>12</v>
      </c>
      <c r="D802">
        <f t="shared" si="60"/>
        <v>12</v>
      </c>
      <c r="E802" t="str">
        <f t="shared" si="61"/>
        <v/>
      </c>
      <c r="F802" t="str">
        <f t="shared" si="63"/>
        <v>-ZUKOMANDARINAC/8/13G(12)</v>
      </c>
      <c r="G802" t="s">
        <v>2510</v>
      </c>
      <c r="H802" s="2">
        <v>4.5177559878658752E-5</v>
      </c>
    </row>
    <row r="803" spans="1:8" x14ac:dyDescent="0.3">
      <c r="A803" t="s">
        <v>2051</v>
      </c>
      <c r="B803" t="s">
        <v>2052</v>
      </c>
      <c r="C803">
        <v>12</v>
      </c>
      <c r="D803">
        <f t="shared" si="60"/>
        <v>12</v>
      </c>
      <c r="E803" t="str">
        <f t="shared" si="61"/>
        <v/>
      </c>
      <c r="F803" t="str">
        <f t="shared" si="63"/>
        <v>ADEREZORANCHCLEMENTE237GR(12)</v>
      </c>
      <c r="G803" t="s">
        <v>3385</v>
      </c>
      <c r="H803" s="2">
        <v>4.4792012488788162E-5</v>
      </c>
    </row>
    <row r="804" spans="1:8" x14ac:dyDescent="0.3">
      <c r="A804" t="s">
        <v>1209</v>
      </c>
      <c r="B804" t="s">
        <v>1210</v>
      </c>
      <c r="C804">
        <v>12</v>
      </c>
      <c r="D804">
        <f t="shared" si="60"/>
        <v>12</v>
      </c>
      <c r="E804" t="str">
        <f t="shared" si="61"/>
        <v/>
      </c>
      <c r="F804" t="str">
        <f t="shared" si="63"/>
        <v>CREMACOFFEMATE311G(12)</v>
      </c>
      <c r="G804" t="s">
        <v>2965</v>
      </c>
      <c r="H804" s="2">
        <v>4.4614941893209542E-5</v>
      </c>
    </row>
    <row r="805" spans="1:8" x14ac:dyDescent="0.3">
      <c r="A805" t="s">
        <v>1556</v>
      </c>
      <c r="B805" t="s">
        <v>1557</v>
      </c>
      <c r="C805">
        <v>10</v>
      </c>
      <c r="D805">
        <f t="shared" si="60"/>
        <v>12</v>
      </c>
      <c r="E805" t="str">
        <f t="shared" si="61"/>
        <v/>
      </c>
      <c r="F805" t="str">
        <f t="shared" si="63"/>
        <v>GALLETASMARAVILLASGAMESA504G(12)</v>
      </c>
      <c r="G805" t="s">
        <v>3138</v>
      </c>
      <c r="H805" s="2">
        <v>4.4577210294088665E-5</v>
      </c>
    </row>
    <row r="806" spans="1:8" x14ac:dyDescent="0.3">
      <c r="A806" t="s">
        <v>849</v>
      </c>
      <c r="B806" t="s">
        <v>850</v>
      </c>
      <c r="C806">
        <v>12</v>
      </c>
      <c r="D806">
        <f t="shared" si="60"/>
        <v>12</v>
      </c>
      <c r="E806" t="str">
        <f t="shared" si="61"/>
        <v/>
      </c>
      <c r="F806" t="str">
        <f>SUBSTITUTE(UPPER(CLEAN(G806))," ","")</f>
        <v>-RAIDCASA/JARD400GRAEROSOL(12)</v>
      </c>
      <c r="G806" t="s">
        <v>2785</v>
      </c>
      <c r="H806" s="2">
        <v>4.3982685725206042E-5</v>
      </c>
    </row>
    <row r="807" spans="1:8" x14ac:dyDescent="0.3">
      <c r="A807" t="s">
        <v>903</v>
      </c>
      <c r="B807" t="s">
        <v>904</v>
      </c>
      <c r="C807">
        <v>25</v>
      </c>
      <c r="D807">
        <f t="shared" si="60"/>
        <v>25</v>
      </c>
      <c r="E807" t="str">
        <f t="shared" si="61"/>
        <v/>
      </c>
      <c r="F807" t="str">
        <f>SUBSTITUTE(UPPER(CLEAN(G807))," ","")</f>
        <v>BOLSACAMISETABIODEGRADABLEGDE.1KG(25)</v>
      </c>
      <c r="G807" t="s">
        <v>2812</v>
      </c>
      <c r="H807" s="2">
        <v>4.3406023037978844E-5</v>
      </c>
    </row>
    <row r="808" spans="1:8" x14ac:dyDescent="0.3">
      <c r="A808" t="s">
        <v>1664</v>
      </c>
      <c r="B808" t="s">
        <v>1665</v>
      </c>
      <c r="C808">
        <v>12</v>
      </c>
      <c r="D808">
        <f t="shared" si="60"/>
        <v>12</v>
      </c>
      <c r="E808" t="str">
        <f t="shared" si="61"/>
        <v/>
      </c>
      <c r="F808" t="str">
        <f t="shared" ref="F808:F846" si="64">SUBSTITUTE(UPPER(CLEAN(B808))," ","")</f>
        <v>CHILERAJASCOSTEÑA800G(12)</v>
      </c>
      <c r="G808" t="s">
        <v>3192</v>
      </c>
      <c r="H808" s="2">
        <v>4.3305148176921111E-5</v>
      </c>
    </row>
    <row r="809" spans="1:8" x14ac:dyDescent="0.3">
      <c r="A809" t="s">
        <v>1550</v>
      </c>
      <c r="B809" t="s">
        <v>1551</v>
      </c>
      <c r="C809">
        <v>12</v>
      </c>
      <c r="D809">
        <f t="shared" si="60"/>
        <v>12</v>
      </c>
      <c r="E809" t="str">
        <f t="shared" si="61"/>
        <v/>
      </c>
      <c r="F809" t="str">
        <f t="shared" si="64"/>
        <v>GALLETASCHOCOLATEEMPERADOR424G(12)</v>
      </c>
      <c r="G809" t="s">
        <v>3135</v>
      </c>
      <c r="H809" s="2">
        <v>4.3134170975983084E-5</v>
      </c>
    </row>
    <row r="810" spans="1:8" x14ac:dyDescent="0.3">
      <c r="A810" t="s">
        <v>7</v>
      </c>
      <c r="B810" t="s">
        <v>8</v>
      </c>
      <c r="C810">
        <v>1</v>
      </c>
      <c r="D810" t="str">
        <f t="shared" si="60"/>
        <v/>
      </c>
      <c r="E810" t="str">
        <f t="shared" si="61"/>
        <v/>
      </c>
      <c r="F810" t="str">
        <f t="shared" si="64"/>
        <v>CUBETACAJETAQUEMADANATURASOL4.5KG</v>
      </c>
      <c r="G810" t="s">
        <v>2364</v>
      </c>
      <c r="H810" s="2">
        <v>4.3069266626477899E-5</v>
      </c>
    </row>
    <row r="811" spans="1:8" x14ac:dyDescent="0.3">
      <c r="A811" t="s">
        <v>1434</v>
      </c>
      <c r="B811" t="s">
        <v>1435</v>
      </c>
      <c r="C811">
        <v>12</v>
      </c>
      <c r="D811">
        <f t="shared" si="60"/>
        <v>12</v>
      </c>
      <c r="E811" t="str">
        <f t="shared" si="61"/>
        <v/>
      </c>
      <c r="F811" t="str">
        <f t="shared" si="64"/>
        <v>%FLANVAINILLACARTED'OR700G(12)</v>
      </c>
      <c r="G811" t="s">
        <v>3077</v>
      </c>
      <c r="H811" s="2">
        <v>4.3039836919333429E-5</v>
      </c>
    </row>
    <row r="812" spans="1:8" x14ac:dyDescent="0.3">
      <c r="A812" t="s">
        <v>1229</v>
      </c>
      <c r="B812" t="s">
        <v>1230</v>
      </c>
      <c r="C812">
        <v>12</v>
      </c>
      <c r="D812">
        <f t="shared" si="60"/>
        <v>12</v>
      </c>
      <c r="E812" t="str">
        <f t="shared" si="61"/>
        <v/>
      </c>
      <c r="F812" t="str">
        <f t="shared" si="64"/>
        <v>CAFEDECAF120G(12)</v>
      </c>
      <c r="G812" t="s">
        <v>2975</v>
      </c>
      <c r="H812" s="2">
        <v>4.2963298866720727E-5</v>
      </c>
    </row>
    <row r="813" spans="1:8" x14ac:dyDescent="0.3">
      <c r="A813" t="s">
        <v>1718</v>
      </c>
      <c r="B813" t="s">
        <v>1719</v>
      </c>
      <c r="C813">
        <v>48</v>
      </c>
      <c r="D813">
        <f t="shared" si="60"/>
        <v>48</v>
      </c>
      <c r="E813" t="str">
        <f t="shared" si="61"/>
        <v/>
      </c>
      <c r="F813" t="str">
        <f t="shared" si="64"/>
        <v>ATUNENAGUAANCLA120G(48)</v>
      </c>
      <c r="G813" t="s">
        <v>3219</v>
      </c>
      <c r="H813" s="2">
        <v>4.2883152500849164E-5</v>
      </c>
    </row>
    <row r="814" spans="1:8" x14ac:dyDescent="0.3">
      <c r="A814" t="s">
        <v>1460</v>
      </c>
      <c r="B814" t="s">
        <v>1461</v>
      </c>
      <c r="C814">
        <v>24</v>
      </c>
      <c r="D814">
        <f t="shared" si="60"/>
        <v>24</v>
      </c>
      <c r="E814" t="str">
        <f t="shared" si="61"/>
        <v/>
      </c>
      <c r="F814" t="str">
        <f t="shared" si="64"/>
        <v>CHICHAROHERDEZ400GR(24)</v>
      </c>
      <c r="G814" t="s">
        <v>3090</v>
      </c>
      <c r="H814" s="2">
        <v>4.2263974492508367E-5</v>
      </c>
    </row>
    <row r="815" spans="1:8" x14ac:dyDescent="0.3">
      <c r="A815" t="s">
        <v>1225</v>
      </c>
      <c r="B815" t="s">
        <v>1226</v>
      </c>
      <c r="C815">
        <v>12</v>
      </c>
      <c r="D815">
        <f t="shared" si="60"/>
        <v>12</v>
      </c>
      <c r="E815" t="str">
        <f t="shared" si="61"/>
        <v/>
      </c>
      <c r="F815" t="str">
        <f t="shared" si="64"/>
        <v>CAFECLASICONESCAFE60G(12)</v>
      </c>
      <c r="G815" t="s">
        <v>2973</v>
      </c>
      <c r="H815" s="2">
        <v>4.2239866451740427E-5</v>
      </c>
    </row>
    <row r="816" spans="1:8" x14ac:dyDescent="0.3">
      <c r="A816" t="s">
        <v>2147</v>
      </c>
      <c r="B816" t="s">
        <v>2148</v>
      </c>
      <c r="C816">
        <v>24</v>
      </c>
      <c r="D816">
        <f t="shared" si="60"/>
        <v>24</v>
      </c>
      <c r="E816" t="str">
        <f t="shared" si="61"/>
        <v/>
      </c>
      <c r="F816" t="str">
        <f t="shared" si="64"/>
        <v>CREMAESPARRAGOSCAMPBELL'S300G(24)</v>
      </c>
      <c r="G816" t="s">
        <v>3433</v>
      </c>
      <c r="H816" s="2">
        <v>4.1799350101428097E-5</v>
      </c>
    </row>
    <row r="817" spans="1:8" x14ac:dyDescent="0.3">
      <c r="A817" t="s">
        <v>1845</v>
      </c>
      <c r="B817" t="s">
        <v>1846</v>
      </c>
      <c r="C817">
        <v>6</v>
      </c>
      <c r="D817">
        <f t="shared" si="60"/>
        <v>6</v>
      </c>
      <c r="E817" t="str">
        <f t="shared" si="61"/>
        <v/>
      </c>
      <c r="F817" t="str">
        <f t="shared" si="64"/>
        <v>-ELOTITOTIERNOSANMIGUEL2.950KG(6)</v>
      </c>
      <c r="G817" t="s">
        <v>3282</v>
      </c>
      <c r="H817" s="2">
        <v>4.1635226050271834E-5</v>
      </c>
    </row>
    <row r="818" spans="1:8" x14ac:dyDescent="0.3">
      <c r="A818" t="s">
        <v>835</v>
      </c>
      <c r="B818" t="s">
        <v>836</v>
      </c>
      <c r="C818">
        <v>1</v>
      </c>
      <c r="D818" t="str">
        <f t="shared" si="60"/>
        <v/>
      </c>
      <c r="E818" t="str">
        <f t="shared" si="61"/>
        <v/>
      </c>
      <c r="F818" t="str">
        <f t="shared" si="64"/>
        <v>CLORO20LTSVARSSET*</v>
      </c>
      <c r="G818" t="s">
        <v>2778</v>
      </c>
      <c r="H818" s="2">
        <v>4.1363371185671911E-5</v>
      </c>
    </row>
    <row r="819" spans="1:8" x14ac:dyDescent="0.3">
      <c r="A819" t="s">
        <v>1109</v>
      </c>
      <c r="B819" t="s">
        <v>1110</v>
      </c>
      <c r="C819">
        <v>12</v>
      </c>
      <c r="D819">
        <f t="shared" si="60"/>
        <v>12</v>
      </c>
      <c r="E819" t="str">
        <f t="shared" si="61"/>
        <v/>
      </c>
      <c r="F819" t="str">
        <f t="shared" si="64"/>
        <v>-JUGOUVAJUMEX960ML(12)TETRA</v>
      </c>
      <c r="G819" t="s">
        <v>2915</v>
      </c>
      <c r="H819" s="2">
        <v>4.1320213095585744E-5</v>
      </c>
    </row>
    <row r="820" spans="1:8" x14ac:dyDescent="0.3">
      <c r="A820" t="s">
        <v>1594</v>
      </c>
      <c r="B820" t="s">
        <v>1595</v>
      </c>
      <c r="C820">
        <v>8</v>
      </c>
      <c r="D820">
        <f t="shared" si="60"/>
        <v>8</v>
      </c>
      <c r="E820" t="str">
        <f t="shared" si="61"/>
        <v/>
      </c>
      <c r="F820" t="str">
        <f t="shared" si="64"/>
        <v>PINOL2LTSGIGANTE(8)</v>
      </c>
      <c r="G820" t="s">
        <v>3157</v>
      </c>
      <c r="H820" s="2">
        <v>4.1083905440633371E-5</v>
      </c>
    </row>
    <row r="821" spans="1:8" x14ac:dyDescent="0.3">
      <c r="A821" t="s">
        <v>309</v>
      </c>
      <c r="B821" t="s">
        <v>310</v>
      </c>
      <c r="C821">
        <v>1</v>
      </c>
      <c r="D821" t="str">
        <f t="shared" si="60"/>
        <v/>
      </c>
      <c r="E821" t="str">
        <f t="shared" si="61"/>
        <v/>
      </c>
      <c r="F821" t="str">
        <f t="shared" si="64"/>
        <v>CALDODEPOLLOPREMAJI-SAZON14K</v>
      </c>
      <c r="G821" t="s">
        <v>2515</v>
      </c>
      <c r="H821" s="2">
        <v>4.0896154033281921E-5</v>
      </c>
    </row>
    <row r="822" spans="1:8" x14ac:dyDescent="0.3">
      <c r="A822" t="s">
        <v>1881</v>
      </c>
      <c r="B822" t="s">
        <v>1882</v>
      </c>
      <c r="C822">
        <v>4</v>
      </c>
      <c r="D822" t="str">
        <f t="shared" si="60"/>
        <v/>
      </c>
      <c r="E822" t="str">
        <f t="shared" si="61"/>
        <v/>
      </c>
      <c r="F822" t="str">
        <f t="shared" si="64"/>
        <v>%ADEREZODEMAYONESAC/LIMONHELL3.5KG</v>
      </c>
      <c r="G822" t="s">
        <v>3300</v>
      </c>
      <c r="H822" s="2">
        <v>4.0576274596032997E-5</v>
      </c>
    </row>
    <row r="823" spans="1:8" x14ac:dyDescent="0.3">
      <c r="A823" t="s">
        <v>379</v>
      </c>
      <c r="B823" t="s">
        <v>380</v>
      </c>
      <c r="C823">
        <v>12</v>
      </c>
      <c r="D823">
        <f t="shared" si="60"/>
        <v>12</v>
      </c>
      <c r="E823" t="str">
        <f t="shared" si="61"/>
        <v/>
      </c>
      <c r="F823" t="str">
        <f t="shared" si="64"/>
        <v>PIMIENTABLANCAMOLIDAPRAGNA700G(12)</v>
      </c>
      <c r="G823" t="s">
        <v>2550</v>
      </c>
      <c r="H823" s="2">
        <v>4.0471261423271322E-5</v>
      </c>
    </row>
    <row r="824" spans="1:8" x14ac:dyDescent="0.3">
      <c r="A824" t="s">
        <v>19</v>
      </c>
      <c r="B824" t="s">
        <v>20</v>
      </c>
      <c r="C824">
        <v>1</v>
      </c>
      <c r="D824" t="str">
        <f t="shared" si="60"/>
        <v/>
      </c>
      <c r="E824" t="str">
        <f t="shared" si="61"/>
        <v/>
      </c>
      <c r="F824" t="str">
        <f t="shared" si="64"/>
        <v>GALLETASCRACKETSGAMESA20/89G</v>
      </c>
      <c r="G824" t="s">
        <v>2370</v>
      </c>
      <c r="H824" s="2">
        <v>4.0049145688133638E-5</v>
      </c>
    </row>
    <row r="825" spans="1:8" x14ac:dyDescent="0.3">
      <c r="A825" t="s">
        <v>93</v>
      </c>
      <c r="B825" t="s">
        <v>94</v>
      </c>
      <c r="C825">
        <v>1</v>
      </c>
      <c r="D825" t="str">
        <f t="shared" si="60"/>
        <v/>
      </c>
      <c r="E825" t="str">
        <f t="shared" si="61"/>
        <v/>
      </c>
      <c r="F825" t="str">
        <f t="shared" si="64"/>
        <v>ACEITESUPREMEOILSBIDON20LT</v>
      </c>
      <c r="G825" t="s">
        <v>2407</v>
      </c>
      <c r="H825" s="2">
        <v>3.9939564568169441E-5</v>
      </c>
    </row>
    <row r="826" spans="1:8" x14ac:dyDescent="0.3">
      <c r="A826" t="s">
        <v>773</v>
      </c>
      <c r="B826" t="s">
        <v>774</v>
      </c>
      <c r="C826">
        <v>1</v>
      </c>
      <c r="D826" t="str">
        <f t="shared" si="60"/>
        <v/>
      </c>
      <c r="E826">
        <f t="shared" si="61"/>
        <v>200</v>
      </c>
      <c r="F826" t="str">
        <f t="shared" si="64"/>
        <v>CONTENEDOR9X9LISOREYMAC/200</v>
      </c>
      <c r="G826" t="s">
        <v>2747</v>
      </c>
      <c r="H826" s="2">
        <v>3.9935619359735539E-5</v>
      </c>
    </row>
    <row r="827" spans="1:8" x14ac:dyDescent="0.3">
      <c r="A827" t="s">
        <v>1704</v>
      </c>
      <c r="B827" t="s">
        <v>1705</v>
      </c>
      <c r="C827">
        <v>6</v>
      </c>
      <c r="D827">
        <f t="shared" si="60"/>
        <v>6</v>
      </c>
      <c r="E827" t="str">
        <f t="shared" si="61"/>
        <v/>
      </c>
      <c r="F827" t="str">
        <f t="shared" si="64"/>
        <v>-PIMIENTANEGRAGRAN.GOURMETLAND500GR(6</v>
      </c>
      <c r="G827" t="s">
        <v>3212</v>
      </c>
      <c r="H827" s="2">
        <v>3.9854523253316484E-5</v>
      </c>
    </row>
    <row r="828" spans="1:8" x14ac:dyDescent="0.3">
      <c r="A828" t="s">
        <v>1498</v>
      </c>
      <c r="B828" t="s">
        <v>1499</v>
      </c>
      <c r="C828">
        <v>48</v>
      </c>
      <c r="D828">
        <f t="shared" si="60"/>
        <v>48</v>
      </c>
      <c r="E828" t="str">
        <f t="shared" si="61"/>
        <v/>
      </c>
      <c r="F828" t="str">
        <f t="shared" si="64"/>
        <v>SALSAHERDEZVERDE210GR(48)</v>
      </c>
      <c r="G828" t="s">
        <v>3109</v>
      </c>
      <c r="H828" s="2">
        <v>3.9842837197226118E-5</v>
      </c>
    </row>
    <row r="829" spans="1:8" x14ac:dyDescent="0.3">
      <c r="A829" t="s">
        <v>207</v>
      </c>
      <c r="B829" t="s">
        <v>208</v>
      </c>
      <c r="D829">
        <f t="shared" si="60"/>
        <v>5</v>
      </c>
      <c r="E829" t="str">
        <f t="shared" si="61"/>
        <v/>
      </c>
      <c r="F829" t="str">
        <f t="shared" si="64"/>
        <v>-CHOCOLATEOSOMARQUETA25/200G(5)</v>
      </c>
      <c r="G829" t="s">
        <v>2464</v>
      </c>
      <c r="H829" s="2">
        <v>3.9611604860545755E-5</v>
      </c>
    </row>
    <row r="830" spans="1:8" x14ac:dyDescent="0.3">
      <c r="A830" t="s">
        <v>1708</v>
      </c>
      <c r="B830" t="s">
        <v>1709</v>
      </c>
      <c r="C830">
        <v>6</v>
      </c>
      <c r="D830">
        <f t="shared" si="60"/>
        <v>6</v>
      </c>
      <c r="E830" t="str">
        <f t="shared" si="61"/>
        <v/>
      </c>
      <c r="F830" t="str">
        <f t="shared" si="64"/>
        <v>-PIMIENTAMOLIDAGOURMETLAND550G(6)</v>
      </c>
      <c r="G830" t="s">
        <v>3214</v>
      </c>
      <c r="H830" s="2">
        <v>3.9526234048061016E-5</v>
      </c>
    </row>
    <row r="831" spans="1:8" x14ac:dyDescent="0.3">
      <c r="A831" t="s">
        <v>1875</v>
      </c>
      <c r="B831" t="s">
        <v>1876</v>
      </c>
      <c r="C831">
        <v>40</v>
      </c>
      <c r="D831">
        <f t="shared" si="60"/>
        <v>40</v>
      </c>
      <c r="E831" t="str">
        <f t="shared" si="61"/>
        <v/>
      </c>
      <c r="F831" t="str">
        <f t="shared" si="64"/>
        <v>CHILECHIPOTLECOSTEÑA105G(40)</v>
      </c>
      <c r="G831" t="s">
        <v>3297</v>
      </c>
      <c r="H831" s="2">
        <v>3.92173865348158E-5</v>
      </c>
    </row>
    <row r="832" spans="1:8" x14ac:dyDescent="0.3">
      <c r="A832" t="s">
        <v>2039</v>
      </c>
      <c r="B832" t="s">
        <v>2040</v>
      </c>
      <c r="C832">
        <v>12</v>
      </c>
      <c r="D832">
        <f t="shared" si="60"/>
        <v>12</v>
      </c>
      <c r="E832" t="str">
        <f t="shared" si="61"/>
        <v/>
      </c>
      <c r="F832" t="str">
        <f t="shared" si="64"/>
        <v>ADEREZOCESARCLEMENTE237ML(12)</v>
      </c>
      <c r="G832" t="s">
        <v>3379</v>
      </c>
      <c r="H832" s="2">
        <v>3.9071262181674123E-5</v>
      </c>
    </row>
    <row r="833" spans="1:8" x14ac:dyDescent="0.3">
      <c r="A833" t="s">
        <v>321</v>
      </c>
      <c r="B833" t="s">
        <v>322</v>
      </c>
      <c r="C833">
        <v>18</v>
      </c>
      <c r="D833">
        <f t="shared" si="60"/>
        <v>18</v>
      </c>
      <c r="E833" t="str">
        <f t="shared" si="61"/>
        <v/>
      </c>
      <c r="F833" t="str">
        <f t="shared" si="64"/>
        <v>SAZONADORUMAMIAJI-NO-MOTO1KG(18)</v>
      </c>
      <c r="G833" t="s">
        <v>2521</v>
      </c>
      <c r="H833" s="2">
        <v>3.9030818312094062E-5</v>
      </c>
    </row>
    <row r="834" spans="1:8" x14ac:dyDescent="0.3">
      <c r="A834" t="s">
        <v>2103</v>
      </c>
      <c r="B834" t="s">
        <v>2104</v>
      </c>
      <c r="C834">
        <v>24</v>
      </c>
      <c r="D834">
        <f t="shared" ref="D834:D897" si="65">IFERROR(VALUE(IFERROR(
    MID(G834,FIND("(",G834)+1,FIND(")",G834)-FIND("(",G834)-1),
    IFERROR(
        MID(G834,FIND("(",G834)+1,LEN(G834)-FIND("(",G834)),
        ""
    )
)),"")</f>
        <v>24</v>
      </c>
      <c r="E834" t="str">
        <f t="shared" ref="E834:E897" si="66">IFERROR(VALUE(MID(SUBSTITUTE(G834," ",""),
FIND("/",SUBSTITUTE(G834," ",""))+1,
MIN(IFERROR(FIND("PZS",SUBSTITUTE(G834," ","")),999),
    IFERROR(FIND("PZA",SUBSTITUTE(G834," ","")),999))
-FIND("/",SUBSTITUTE(G834," ",""))-1)),"")</f>
        <v/>
      </c>
      <c r="F834" t="str">
        <f t="shared" si="64"/>
        <v>PASTAYEMINASEMILLAMELON200GR(24)</v>
      </c>
      <c r="G834" t="s">
        <v>3411</v>
      </c>
      <c r="H834" s="2">
        <v>3.8678239232282196E-5</v>
      </c>
    </row>
    <row r="835" spans="1:8" x14ac:dyDescent="0.3">
      <c r="A835" t="s">
        <v>679</v>
      </c>
      <c r="B835" t="s">
        <v>680</v>
      </c>
      <c r="C835">
        <v>12</v>
      </c>
      <c r="D835">
        <f t="shared" si="65"/>
        <v>12</v>
      </c>
      <c r="E835" t="str">
        <f t="shared" si="66"/>
        <v/>
      </c>
      <c r="F835" t="str">
        <f t="shared" si="64"/>
        <v>SAZONADORCAJUNPRAGNA690GR(12)</v>
      </c>
      <c r="G835" t="s">
        <v>2700</v>
      </c>
      <c r="H835" s="2">
        <v>3.8398324987056188E-5</v>
      </c>
    </row>
    <row r="836" spans="1:8" x14ac:dyDescent="0.3">
      <c r="A836" t="s">
        <v>475</v>
      </c>
      <c r="B836" t="s">
        <v>476</v>
      </c>
      <c r="C836">
        <v>24</v>
      </c>
      <c r="D836">
        <f t="shared" si="65"/>
        <v>2</v>
      </c>
      <c r="E836" t="str">
        <f t="shared" si="66"/>
        <v/>
      </c>
      <c r="F836" t="str">
        <f t="shared" si="64"/>
        <v>-BEBIDAGATORADEPONCHEDEFRUTA500ML(2</v>
      </c>
      <c r="G836" t="s">
        <v>2598</v>
      </c>
      <c r="H836" s="2">
        <v>3.8383053305257284E-5</v>
      </c>
    </row>
    <row r="837" spans="1:8" x14ac:dyDescent="0.3">
      <c r="A837" t="s">
        <v>783</v>
      </c>
      <c r="B837" t="s">
        <v>784</v>
      </c>
      <c r="C837">
        <v>20</v>
      </c>
      <c r="D837">
        <f t="shared" si="65"/>
        <v>20</v>
      </c>
      <c r="E837">
        <f t="shared" si="66"/>
        <v>50</v>
      </c>
      <c r="F837" t="str">
        <f t="shared" si="64"/>
        <v>VASOPLASTICONO.7REYMAC/50PZA(20)</v>
      </c>
      <c r="G837" t="s">
        <v>2752</v>
      </c>
      <c r="H837" s="2">
        <v>3.8360554586305046E-5</v>
      </c>
    </row>
    <row r="838" spans="1:8" x14ac:dyDescent="0.3">
      <c r="A838" t="s">
        <v>1500</v>
      </c>
      <c r="B838" t="s">
        <v>1501</v>
      </c>
      <c r="C838">
        <v>12</v>
      </c>
      <c r="D838" t="str">
        <f t="shared" si="65"/>
        <v/>
      </c>
      <c r="E838" t="str">
        <f t="shared" si="66"/>
        <v/>
      </c>
      <c r="F838" t="str">
        <f t="shared" si="64"/>
        <v>-REFRESCODESABOR600MLPET</v>
      </c>
      <c r="G838" t="s">
        <v>3110</v>
      </c>
      <c r="H838" s="2">
        <v>3.8225736933464441E-5</v>
      </c>
    </row>
    <row r="839" spans="1:8" x14ac:dyDescent="0.3">
      <c r="A839" t="s">
        <v>1666</v>
      </c>
      <c r="B839" t="s">
        <v>1667</v>
      </c>
      <c r="C839">
        <v>12</v>
      </c>
      <c r="D839">
        <f t="shared" si="65"/>
        <v>12</v>
      </c>
      <c r="E839" t="str">
        <f t="shared" si="66"/>
        <v/>
      </c>
      <c r="F839" t="str">
        <f t="shared" si="64"/>
        <v>CURRYPOLVOMC51G(12)</v>
      </c>
      <c r="G839" t="s">
        <v>3193</v>
      </c>
      <c r="H839" s="2">
        <v>3.8075513620370875E-5</v>
      </c>
    </row>
    <row r="840" spans="1:8" x14ac:dyDescent="0.3">
      <c r="A840" t="s">
        <v>967</v>
      </c>
      <c r="B840" t="s">
        <v>968</v>
      </c>
      <c r="C840">
        <v>12</v>
      </c>
      <c r="D840">
        <f t="shared" si="65"/>
        <v>12</v>
      </c>
      <c r="E840" t="str">
        <f t="shared" si="66"/>
        <v/>
      </c>
      <c r="F840" t="str">
        <f t="shared" si="64"/>
        <v>AJOPICADODELMONTE283G(12)</v>
      </c>
      <c r="G840" t="s">
        <v>2844</v>
      </c>
      <c r="H840" s="2">
        <v>3.7886678757158907E-5</v>
      </c>
    </row>
    <row r="841" spans="1:8" x14ac:dyDescent="0.3">
      <c r="A841" t="s">
        <v>295</v>
      </c>
      <c r="B841" t="s">
        <v>296</v>
      </c>
      <c r="C841">
        <v>12</v>
      </c>
      <c r="D841">
        <f t="shared" si="65"/>
        <v>12</v>
      </c>
      <c r="E841" t="str">
        <f t="shared" si="66"/>
        <v/>
      </c>
      <c r="F841" t="str">
        <f t="shared" si="64"/>
        <v>ZUKOHORCHATAC/8/13G(12)</v>
      </c>
      <c r="G841" t="s">
        <v>2508</v>
      </c>
      <c r="H841" s="2">
        <v>3.7881301805145666E-5</v>
      </c>
    </row>
    <row r="842" spans="1:8" x14ac:dyDescent="0.3">
      <c r="A842" t="s">
        <v>2285</v>
      </c>
      <c r="B842" t="s">
        <v>2286</v>
      </c>
      <c r="C842">
        <v>12</v>
      </c>
      <c r="D842">
        <f t="shared" si="65"/>
        <v>12</v>
      </c>
      <c r="E842" t="str">
        <f t="shared" si="66"/>
        <v/>
      </c>
      <c r="F842" t="str">
        <f t="shared" si="64"/>
        <v>AZUCARMASCABADOMETCOC/50/4GR(12)</v>
      </c>
      <c r="G842" t="s">
        <v>3502</v>
      </c>
      <c r="H842" s="2">
        <v>3.7791854267798154E-5</v>
      </c>
    </row>
    <row r="843" spans="1:8" x14ac:dyDescent="0.3">
      <c r="A843" t="s">
        <v>263</v>
      </c>
      <c r="B843" t="s">
        <v>264</v>
      </c>
      <c r="C843">
        <v>12</v>
      </c>
      <c r="D843">
        <f t="shared" si="65"/>
        <v>12</v>
      </c>
      <c r="E843" t="str">
        <f t="shared" si="66"/>
        <v/>
      </c>
      <c r="F843" t="str">
        <f t="shared" si="64"/>
        <v>TANGMANGOC/8/13G(12)</v>
      </c>
      <c r="G843" t="s">
        <v>2492</v>
      </c>
      <c r="H843" s="2">
        <v>3.7745646432813987E-5</v>
      </c>
    </row>
    <row r="844" spans="1:8" x14ac:dyDescent="0.3">
      <c r="A844" t="s">
        <v>11</v>
      </c>
      <c r="B844" t="s">
        <v>12</v>
      </c>
      <c r="C844">
        <v>24</v>
      </c>
      <c r="D844">
        <f t="shared" si="65"/>
        <v>24</v>
      </c>
      <c r="E844" t="str">
        <f t="shared" si="66"/>
        <v/>
      </c>
      <c r="F844" t="str">
        <f t="shared" si="64"/>
        <v>CEREALFROOTLOOPSKELLOGG'S380GR(24)</v>
      </c>
      <c r="G844" t="s">
        <v>2366</v>
      </c>
      <c r="H844" s="2">
        <v>3.7641088673097132E-5</v>
      </c>
    </row>
    <row r="845" spans="1:8" x14ac:dyDescent="0.3">
      <c r="A845" t="s">
        <v>193</v>
      </c>
      <c r="B845" t="s">
        <v>194</v>
      </c>
      <c r="C845">
        <v>24</v>
      </c>
      <c r="D845">
        <f t="shared" si="65"/>
        <v>24</v>
      </c>
      <c r="E845" t="str">
        <f t="shared" si="66"/>
        <v/>
      </c>
      <c r="F845" t="str">
        <f t="shared" si="64"/>
        <v>#CEREALCORNPOPSKELLOGG'S450G(24)</v>
      </c>
      <c r="G845" t="s">
        <v>2457</v>
      </c>
      <c r="H845" s="2">
        <v>3.7348764542913478E-5</v>
      </c>
    </row>
    <row r="846" spans="1:8" x14ac:dyDescent="0.3">
      <c r="A846" t="s">
        <v>195</v>
      </c>
      <c r="B846" t="s">
        <v>196</v>
      </c>
      <c r="C846">
        <v>24</v>
      </c>
      <c r="D846">
        <f t="shared" si="65"/>
        <v>24</v>
      </c>
      <c r="E846" t="str">
        <f t="shared" si="66"/>
        <v/>
      </c>
      <c r="F846" t="str">
        <f t="shared" si="64"/>
        <v>CEREALCHOCOKRISPISKELLOGG'S540G(24</v>
      </c>
      <c r="G846" t="s">
        <v>2458</v>
      </c>
      <c r="H846" s="2">
        <v>3.7348764542913478E-5</v>
      </c>
    </row>
    <row r="847" spans="1:8" x14ac:dyDescent="0.3">
      <c r="A847" t="s">
        <v>913</v>
      </c>
      <c r="B847" t="s">
        <v>914</v>
      </c>
      <c r="C847">
        <v>80</v>
      </c>
      <c r="D847">
        <f t="shared" si="65"/>
        <v>80</v>
      </c>
      <c r="E847" t="str">
        <f t="shared" si="66"/>
        <v/>
      </c>
      <c r="F847" t="str">
        <f>SUBSTITUTE(UPPER(CLEAN(G847))," ","")</f>
        <v>-PAPELKLEENEXC/400H.S.ROLLO(80)</v>
      </c>
      <c r="G847" t="s">
        <v>2817</v>
      </c>
      <c r="H847" s="2">
        <v>3.7122944974405469E-5</v>
      </c>
    </row>
    <row r="848" spans="1:8" x14ac:dyDescent="0.3">
      <c r="A848" t="s">
        <v>1819</v>
      </c>
      <c r="B848" t="s">
        <v>1820</v>
      </c>
      <c r="D848">
        <f t="shared" si="65"/>
        <v>4</v>
      </c>
      <c r="E848" t="str">
        <f t="shared" si="66"/>
        <v/>
      </c>
      <c r="F848" t="str">
        <f t="shared" ref="F848:F879" si="67">SUBSTITUTE(UPPER(CLEAN(B848))," ","")</f>
        <v>FRESHGOURMETCROUTON2.5LB(4</v>
      </c>
      <c r="G848" t="s">
        <v>3269</v>
      </c>
      <c r="H848" s="2">
        <v>3.7053234383180567E-5</v>
      </c>
    </row>
    <row r="849" spans="1:8" x14ac:dyDescent="0.3">
      <c r="A849" t="s">
        <v>583</v>
      </c>
      <c r="B849" t="s">
        <v>584</v>
      </c>
      <c r="C849">
        <v>20</v>
      </c>
      <c r="D849">
        <f t="shared" si="65"/>
        <v>20</v>
      </c>
      <c r="E849" t="str">
        <f t="shared" si="66"/>
        <v/>
      </c>
      <c r="F849" t="str">
        <f t="shared" si="67"/>
        <v>PASTAFIORDIP.PLUMA200GR(20)</v>
      </c>
      <c r="G849" t="s">
        <v>2652</v>
      </c>
      <c r="H849" s="2">
        <v>3.6975043722420884E-5</v>
      </c>
    </row>
    <row r="850" spans="1:8" x14ac:dyDescent="0.3">
      <c r="A850" t="s">
        <v>2191</v>
      </c>
      <c r="B850" t="s">
        <v>2192</v>
      </c>
      <c r="C850">
        <v>24</v>
      </c>
      <c r="D850">
        <f t="shared" si="65"/>
        <v>24</v>
      </c>
      <c r="E850" t="str">
        <f t="shared" si="66"/>
        <v/>
      </c>
      <c r="F850" t="str">
        <f t="shared" si="67"/>
        <v>ACEITUNADESHUESADABUFALO175G(24)BOLSA</v>
      </c>
      <c r="G850" t="s">
        <v>3455</v>
      </c>
      <c r="H850" s="2">
        <v>3.6524033992838246E-5</v>
      </c>
    </row>
    <row r="851" spans="1:8" x14ac:dyDescent="0.3">
      <c r="A851" t="s">
        <v>1729</v>
      </c>
      <c r="B851" t="s">
        <v>1730</v>
      </c>
      <c r="C851">
        <v>12</v>
      </c>
      <c r="D851">
        <f t="shared" si="65"/>
        <v>12</v>
      </c>
      <c r="E851" t="str">
        <f t="shared" si="66"/>
        <v/>
      </c>
      <c r="F851" t="str">
        <f t="shared" si="67"/>
        <v>FLASHLAVANDA1LTO(12)</v>
      </c>
      <c r="G851" t="s">
        <v>3224</v>
      </c>
      <c r="H851" s="2">
        <v>3.6383549585355355E-5</v>
      </c>
    </row>
    <row r="852" spans="1:8" x14ac:dyDescent="0.3">
      <c r="A852" t="s">
        <v>1747</v>
      </c>
      <c r="B852" t="s">
        <v>1748</v>
      </c>
      <c r="C852">
        <v>1</v>
      </c>
      <c r="D852">
        <f t="shared" si="65"/>
        <v>12</v>
      </c>
      <c r="E852" t="str">
        <f t="shared" si="66"/>
        <v/>
      </c>
      <c r="F852" t="str">
        <f t="shared" si="67"/>
        <v>CLORALEX950ML+1PINOLAROMA500ML(12)B9</v>
      </c>
      <c r="G852" t="s">
        <v>3233</v>
      </c>
      <c r="H852" s="2">
        <v>3.6334095423332255E-5</v>
      </c>
    </row>
    <row r="853" spans="1:8" x14ac:dyDescent="0.3">
      <c r="A853" t="s">
        <v>2355</v>
      </c>
      <c r="B853" t="s">
        <v>2356</v>
      </c>
      <c r="C853">
        <v>12</v>
      </c>
      <c r="D853">
        <f t="shared" si="65"/>
        <v>12</v>
      </c>
      <c r="E853" t="str">
        <f t="shared" si="66"/>
        <v/>
      </c>
      <c r="F853" t="str">
        <f t="shared" si="67"/>
        <v>ACEITUNAS/HUESOCARBONELL140G5CYL(12)</v>
      </c>
      <c r="G853" t="s">
        <v>3537</v>
      </c>
      <c r="H853" s="2">
        <v>3.6226197494981789E-5</v>
      </c>
    </row>
    <row r="854" spans="1:8" x14ac:dyDescent="0.3">
      <c r="A854" t="s">
        <v>659</v>
      </c>
      <c r="B854" t="s">
        <v>660</v>
      </c>
      <c r="C854">
        <v>4</v>
      </c>
      <c r="D854">
        <f t="shared" si="65"/>
        <v>4</v>
      </c>
      <c r="E854" t="str">
        <f t="shared" si="66"/>
        <v/>
      </c>
      <c r="F854" t="str">
        <f t="shared" si="67"/>
        <v>-SALSALOLTUNHABANERAROJA4KG(4)</v>
      </c>
      <c r="G854" t="s">
        <v>2690</v>
      </c>
      <c r="H854" s="2">
        <v>3.6213501258932528E-5</v>
      </c>
    </row>
    <row r="855" spans="1:8" x14ac:dyDescent="0.3">
      <c r="A855" t="s">
        <v>1067</v>
      </c>
      <c r="B855" t="s">
        <v>1068</v>
      </c>
      <c r="C855">
        <v>20</v>
      </c>
      <c r="D855">
        <f t="shared" si="65"/>
        <v>20</v>
      </c>
      <c r="E855" t="str">
        <f t="shared" si="66"/>
        <v/>
      </c>
      <c r="F855" t="str">
        <f t="shared" si="67"/>
        <v>ACHIOTELIQUIDOBUENO250ML(20)</v>
      </c>
      <c r="G855" t="s">
        <v>2894</v>
      </c>
      <c r="H855" s="2">
        <v>3.6178522654491258E-5</v>
      </c>
    </row>
    <row r="856" spans="1:8" x14ac:dyDescent="0.3">
      <c r="A856" t="s">
        <v>1474</v>
      </c>
      <c r="B856" t="s">
        <v>1475</v>
      </c>
      <c r="C856">
        <v>12</v>
      </c>
      <c r="D856">
        <f t="shared" si="65"/>
        <v>12</v>
      </c>
      <c r="E856" t="str">
        <f t="shared" si="66"/>
        <v/>
      </c>
      <c r="F856" t="str">
        <f t="shared" si="67"/>
        <v>FRIJOLESENTEROBAYOSSIERRA560G(12)</v>
      </c>
      <c r="G856" t="s">
        <v>3097</v>
      </c>
      <c r="H856" s="2">
        <v>3.5721012581045579E-5</v>
      </c>
    </row>
    <row r="857" spans="1:8" x14ac:dyDescent="0.3">
      <c r="A857" t="s">
        <v>647</v>
      </c>
      <c r="B857" t="s">
        <v>648</v>
      </c>
      <c r="C857">
        <v>12</v>
      </c>
      <c r="D857">
        <f t="shared" si="65"/>
        <v>12</v>
      </c>
      <c r="E857" t="str">
        <f t="shared" si="66"/>
        <v/>
      </c>
      <c r="F857" t="str">
        <f t="shared" si="67"/>
        <v>SALSALAGUACAMAYATRADICIONAL1LTO(12)</v>
      </c>
      <c r="G857" t="s">
        <v>2684</v>
      </c>
      <c r="H857" s="2">
        <v>3.5678627149876295E-5</v>
      </c>
    </row>
    <row r="858" spans="1:8" x14ac:dyDescent="0.3">
      <c r="A858" t="s">
        <v>739</v>
      </c>
      <c r="B858" t="s">
        <v>740</v>
      </c>
      <c r="C858">
        <v>50</v>
      </c>
      <c r="D858">
        <f t="shared" si="65"/>
        <v>50</v>
      </c>
      <c r="E858" t="str">
        <f t="shared" si="66"/>
        <v/>
      </c>
      <c r="F858" t="str">
        <f t="shared" si="67"/>
        <v>BICARBONATOPROMESA220GR(50)</v>
      </c>
      <c r="G858" t="s">
        <v>2730</v>
      </c>
      <c r="H858" s="2">
        <v>3.5353352322450476E-5</v>
      </c>
    </row>
    <row r="859" spans="1:8" x14ac:dyDescent="0.3">
      <c r="A859" t="s">
        <v>1949</v>
      </c>
      <c r="B859" t="s">
        <v>1950</v>
      </c>
      <c r="C859">
        <v>4</v>
      </c>
      <c r="D859">
        <f t="shared" si="65"/>
        <v>4</v>
      </c>
      <c r="E859" t="str">
        <f t="shared" si="66"/>
        <v/>
      </c>
      <c r="F859" t="str">
        <f t="shared" si="67"/>
        <v>%ADEREZOBLUECHEESEHELLMANN´S3.8KG(4</v>
      </c>
      <c r="G859" t="s">
        <v>3334</v>
      </c>
      <c r="H859" s="2">
        <v>3.5143016213023761E-5</v>
      </c>
    </row>
    <row r="860" spans="1:8" x14ac:dyDescent="0.3">
      <c r="A860" t="s">
        <v>691</v>
      </c>
      <c r="B860" t="s">
        <v>692</v>
      </c>
      <c r="C860">
        <v>20</v>
      </c>
      <c r="D860">
        <f t="shared" si="65"/>
        <v>20</v>
      </c>
      <c r="E860" t="str">
        <f t="shared" si="66"/>
        <v/>
      </c>
      <c r="F860" t="str">
        <f t="shared" si="67"/>
        <v>-LENTEJAPAISA500GR(20)</v>
      </c>
      <c r="G860" t="s">
        <v>2706</v>
      </c>
      <c r="H860" s="2">
        <v>3.4897015099532594E-5</v>
      </c>
    </row>
    <row r="861" spans="1:8" x14ac:dyDescent="0.3">
      <c r="A861" t="s">
        <v>179</v>
      </c>
      <c r="B861" t="s">
        <v>180</v>
      </c>
      <c r="C861">
        <v>1</v>
      </c>
      <c r="D861" t="str">
        <f t="shared" si="65"/>
        <v/>
      </c>
      <c r="E861" t="str">
        <f t="shared" si="66"/>
        <v/>
      </c>
      <c r="F861" t="str">
        <f t="shared" si="67"/>
        <v>-CAFEMEZCLADELACASAMOLIDO.500KG</v>
      </c>
      <c r="G861" t="s">
        <v>2450</v>
      </c>
      <c r="H861" s="2">
        <v>3.486844855418985E-5</v>
      </c>
    </row>
    <row r="862" spans="1:8" x14ac:dyDescent="0.3">
      <c r="A862" t="s">
        <v>1961</v>
      </c>
      <c r="B862" t="s">
        <v>1962</v>
      </c>
      <c r="C862">
        <v>1</v>
      </c>
      <c r="D862" t="str">
        <f t="shared" si="65"/>
        <v/>
      </c>
      <c r="E862" t="str">
        <f t="shared" si="66"/>
        <v/>
      </c>
      <c r="F862" t="str">
        <f t="shared" si="67"/>
        <v>SOPAKNORRFIDEO/POLLOC/2/6/95GR</v>
      </c>
      <c r="G862" t="s">
        <v>3340</v>
      </c>
      <c r="H862" s="2">
        <v>3.466464532279749E-5</v>
      </c>
    </row>
    <row r="863" spans="1:8" x14ac:dyDescent="0.3">
      <c r="A863" t="s">
        <v>939</v>
      </c>
      <c r="B863" t="s">
        <v>940</v>
      </c>
      <c r="C863">
        <v>10</v>
      </c>
      <c r="D863">
        <f t="shared" si="65"/>
        <v>10</v>
      </c>
      <c r="E863" t="str">
        <f t="shared" si="66"/>
        <v/>
      </c>
      <c r="F863" t="str">
        <f t="shared" si="67"/>
        <v>MANDILPOLIETILENODESECHABLEC/100(10)</v>
      </c>
      <c r="G863" t="s">
        <v>2830</v>
      </c>
      <c r="H863" s="2">
        <v>3.4565519864727877E-5</v>
      </c>
    </row>
    <row r="864" spans="1:8" x14ac:dyDescent="0.3">
      <c r="A864" t="s">
        <v>1909</v>
      </c>
      <c r="B864" t="s">
        <v>1910</v>
      </c>
      <c r="C864">
        <v>4</v>
      </c>
      <c r="D864">
        <f t="shared" si="65"/>
        <v>4</v>
      </c>
      <c r="E864" t="str">
        <f t="shared" si="66"/>
        <v/>
      </c>
      <c r="F864" t="str">
        <f t="shared" si="67"/>
        <v>%ADEREZOCESARHELLMANN´S3.8KG(4)EC</v>
      </c>
      <c r="G864" t="s">
        <v>3314</v>
      </c>
      <c r="H864" s="2">
        <v>3.4526472068935626E-5</v>
      </c>
    </row>
    <row r="865" spans="1:8" x14ac:dyDescent="0.3">
      <c r="A865" t="s">
        <v>2011</v>
      </c>
      <c r="B865" t="s">
        <v>2012</v>
      </c>
      <c r="C865">
        <v>12</v>
      </c>
      <c r="D865">
        <f t="shared" si="65"/>
        <v>12</v>
      </c>
      <c r="E865" t="str">
        <f t="shared" si="66"/>
        <v/>
      </c>
      <c r="F865" t="str">
        <f t="shared" si="67"/>
        <v>PASTASPAGHETTIMEDIANOBARILLA1KG(12)</v>
      </c>
      <c r="G865" t="s">
        <v>3365</v>
      </c>
      <c r="H865" s="2">
        <v>3.4287704761019392E-5</v>
      </c>
    </row>
    <row r="866" spans="1:8" x14ac:dyDescent="0.3">
      <c r="A866" t="s">
        <v>711</v>
      </c>
      <c r="B866" t="s">
        <v>712</v>
      </c>
      <c r="C866">
        <v>12</v>
      </c>
      <c r="D866">
        <f t="shared" si="65"/>
        <v>12</v>
      </c>
      <c r="E866" t="str">
        <f t="shared" si="66"/>
        <v/>
      </c>
      <c r="F866" t="str">
        <f t="shared" si="67"/>
        <v>CUARTOSDEALCACHOFASANMIGUEL900GR(12</v>
      </c>
      <c r="G866" t="s">
        <v>2716</v>
      </c>
      <c r="H866" s="2">
        <v>3.3922094395957493E-5</v>
      </c>
    </row>
    <row r="867" spans="1:8" x14ac:dyDescent="0.3">
      <c r="A867" t="s">
        <v>1047</v>
      </c>
      <c r="B867" t="s">
        <v>1048</v>
      </c>
      <c r="C867">
        <v>24</v>
      </c>
      <c r="D867">
        <f t="shared" si="65"/>
        <v>24</v>
      </c>
      <c r="E867" t="str">
        <f t="shared" si="66"/>
        <v/>
      </c>
      <c r="F867" t="str">
        <f t="shared" si="67"/>
        <v>-SALSABUFALOTAMPICO60ML(24)</v>
      </c>
      <c r="G867" t="s">
        <v>2884</v>
      </c>
      <c r="H867" s="2">
        <v>3.376023100666289E-5</v>
      </c>
    </row>
    <row r="868" spans="1:8" x14ac:dyDescent="0.3">
      <c r="A868" t="s">
        <v>141</v>
      </c>
      <c r="B868" t="s">
        <v>142</v>
      </c>
      <c r="C868">
        <v>48</v>
      </c>
      <c r="D868">
        <f t="shared" si="65"/>
        <v>48</v>
      </c>
      <c r="E868" t="str">
        <f t="shared" si="66"/>
        <v/>
      </c>
      <c r="F868" t="str">
        <f t="shared" si="67"/>
        <v>ATUNHOJ/ACEITES/SOYATUNY130G(48)</v>
      </c>
      <c r="G868" t="s">
        <v>2431</v>
      </c>
      <c r="H868" s="2">
        <v>3.3747836443649275E-5</v>
      </c>
    </row>
    <row r="869" spans="1:8" x14ac:dyDescent="0.3">
      <c r="A869" t="s">
        <v>1793</v>
      </c>
      <c r="B869" t="s">
        <v>1794</v>
      </c>
      <c r="C869">
        <v>24</v>
      </c>
      <c r="D869">
        <f t="shared" si="65"/>
        <v>24</v>
      </c>
      <c r="E869" t="str">
        <f t="shared" si="66"/>
        <v/>
      </c>
      <c r="F869" t="str">
        <f t="shared" si="67"/>
        <v>SALSACHILECHIPOTLECHONITA350GR(24)</v>
      </c>
      <c r="G869" t="s">
        <v>3256</v>
      </c>
      <c r="H869" s="2">
        <v>3.358197732156677E-5</v>
      </c>
    </row>
    <row r="870" spans="1:8" x14ac:dyDescent="0.3">
      <c r="A870" t="s">
        <v>1670</v>
      </c>
      <c r="B870" t="s">
        <v>1671</v>
      </c>
      <c r="C870">
        <v>12</v>
      </c>
      <c r="D870">
        <f t="shared" si="65"/>
        <v>12</v>
      </c>
      <c r="E870" t="str">
        <f t="shared" si="66"/>
        <v/>
      </c>
      <c r="F870" t="str">
        <f t="shared" si="67"/>
        <v>CEBOLLAENPOLVOMC70G(12)</v>
      </c>
      <c r="G870" t="s">
        <v>3195</v>
      </c>
      <c r="H870" s="2">
        <v>3.3029091857660237E-5</v>
      </c>
    </row>
    <row r="871" spans="1:8" x14ac:dyDescent="0.3">
      <c r="A871" t="s">
        <v>2149</v>
      </c>
      <c r="B871" t="s">
        <v>2150</v>
      </c>
      <c r="C871">
        <v>24</v>
      </c>
      <c r="D871">
        <f t="shared" si="65"/>
        <v>24</v>
      </c>
      <c r="E871" t="str">
        <f t="shared" si="66"/>
        <v/>
      </c>
      <c r="F871" t="str">
        <f t="shared" si="67"/>
        <v>CREMACHILEPOBLANOCAMPBELL'S300G(24)</v>
      </c>
      <c r="G871" t="s">
        <v>3434</v>
      </c>
      <c r="H871" s="2">
        <v>3.284137471725687E-5</v>
      </c>
    </row>
    <row r="872" spans="1:8" x14ac:dyDescent="0.3">
      <c r="A872" t="s">
        <v>457</v>
      </c>
      <c r="B872" t="s">
        <v>458</v>
      </c>
      <c r="C872">
        <v>10</v>
      </c>
      <c r="D872">
        <f t="shared" si="65"/>
        <v>10</v>
      </c>
      <c r="E872" t="str">
        <f t="shared" si="66"/>
        <v/>
      </c>
      <c r="F872" t="str">
        <f t="shared" si="67"/>
        <v>HARINAAZULMASECA1K(10)</v>
      </c>
      <c r="G872" t="s">
        <v>2589</v>
      </c>
      <c r="H872" s="2">
        <v>3.261781651606032E-5</v>
      </c>
    </row>
    <row r="873" spans="1:8" x14ac:dyDescent="0.3">
      <c r="A873" t="s">
        <v>2121</v>
      </c>
      <c r="B873" t="s">
        <v>2122</v>
      </c>
      <c r="C873">
        <v>24</v>
      </c>
      <c r="D873">
        <f t="shared" si="65"/>
        <v>24</v>
      </c>
      <c r="E873" t="str">
        <f t="shared" si="66"/>
        <v/>
      </c>
      <c r="F873" t="str">
        <f t="shared" si="67"/>
        <v>PASTAYEMINAMACARRON200GR(24)</v>
      </c>
      <c r="G873" t="s">
        <v>3420</v>
      </c>
      <c r="H873" s="2">
        <v>3.2597131291915131E-5</v>
      </c>
    </row>
    <row r="874" spans="1:8" x14ac:dyDescent="0.3">
      <c r="A874" t="s">
        <v>213</v>
      </c>
      <c r="B874" t="s">
        <v>214</v>
      </c>
      <c r="C874">
        <v>40</v>
      </c>
      <c r="D874">
        <f t="shared" si="65"/>
        <v>40</v>
      </c>
      <c r="E874" t="str">
        <f t="shared" si="66"/>
        <v/>
      </c>
      <c r="F874" t="str">
        <f t="shared" si="67"/>
        <v>CHOCOLATEPOPULARMARQUETA125G(40)</v>
      </c>
      <c r="G874" t="s">
        <v>2467</v>
      </c>
      <c r="H874" s="2">
        <v>3.2386159624205128E-5</v>
      </c>
    </row>
    <row r="875" spans="1:8" x14ac:dyDescent="0.3">
      <c r="A875" t="s">
        <v>1343</v>
      </c>
      <c r="B875" t="s">
        <v>1344</v>
      </c>
      <c r="C875" t="s">
        <v>1345</v>
      </c>
      <c r="D875">
        <f t="shared" si="65"/>
        <v>12</v>
      </c>
      <c r="E875" t="str">
        <f t="shared" si="66"/>
        <v/>
      </c>
      <c r="F875" t="str">
        <f t="shared" si="67"/>
        <v>PINOLLAVANDA828ML10+2(12)B9</v>
      </c>
      <c r="G875" t="s">
        <v>3032</v>
      </c>
      <c r="H875" s="2">
        <v>3.2377815389744343E-5</v>
      </c>
    </row>
    <row r="876" spans="1:8" x14ac:dyDescent="0.3">
      <c r="A876" t="s">
        <v>2047</v>
      </c>
      <c r="B876" t="s">
        <v>2048</v>
      </c>
      <c r="C876">
        <v>12</v>
      </c>
      <c r="D876">
        <f t="shared" si="65"/>
        <v>12</v>
      </c>
      <c r="E876" t="str">
        <f t="shared" si="66"/>
        <v/>
      </c>
      <c r="F876" t="str">
        <f t="shared" si="67"/>
        <v>ADEREZOMILISLASCLEMENTE237GR(12)</v>
      </c>
      <c r="G876" t="s">
        <v>3383</v>
      </c>
      <c r="H876" s="2">
        <v>3.2322326285616913E-5</v>
      </c>
    </row>
    <row r="877" spans="1:8" x14ac:dyDescent="0.3">
      <c r="A877" t="s">
        <v>419</v>
      </c>
      <c r="B877" t="s">
        <v>420</v>
      </c>
      <c r="C877">
        <v>10</v>
      </c>
      <c r="D877">
        <f t="shared" si="65"/>
        <v>10</v>
      </c>
      <c r="E877" t="str">
        <f t="shared" si="66"/>
        <v/>
      </c>
      <c r="F877" t="str">
        <f t="shared" si="67"/>
        <v>-FLANCHOCOLATELORES1K(10)</v>
      </c>
      <c r="G877" t="s">
        <v>2570</v>
      </c>
      <c r="H877" s="2">
        <v>3.2190098586385104E-5</v>
      </c>
    </row>
    <row r="878" spans="1:8" x14ac:dyDescent="0.3">
      <c r="A878" t="s">
        <v>1865</v>
      </c>
      <c r="B878" t="s">
        <v>1866</v>
      </c>
      <c r="C878">
        <v>24</v>
      </c>
      <c r="D878">
        <f t="shared" si="65"/>
        <v>24</v>
      </c>
      <c r="E878" t="str">
        <f t="shared" si="66"/>
        <v/>
      </c>
      <c r="F878" t="str">
        <f t="shared" si="67"/>
        <v>MANDARINASANMIGUEL425G(24)</v>
      </c>
      <c r="G878" t="s">
        <v>3292</v>
      </c>
      <c r="H878" s="2">
        <v>3.218701586566466E-5</v>
      </c>
    </row>
    <row r="879" spans="1:8" x14ac:dyDescent="0.3">
      <c r="A879" t="s">
        <v>1680</v>
      </c>
      <c r="B879" t="s">
        <v>1681</v>
      </c>
      <c r="C879">
        <v>20</v>
      </c>
      <c r="D879">
        <f t="shared" si="65"/>
        <v>20</v>
      </c>
      <c r="E879" t="str">
        <f t="shared" si="66"/>
        <v/>
      </c>
      <c r="F879" t="str">
        <f t="shared" si="67"/>
        <v>-ALUBIACHICAVERDEVALLE500GR(20)</v>
      </c>
      <c r="G879" t="s">
        <v>3200</v>
      </c>
      <c r="H879" s="2">
        <v>3.2062104022072408E-5</v>
      </c>
    </row>
    <row r="880" spans="1:8" x14ac:dyDescent="0.3">
      <c r="A880" t="s">
        <v>335</v>
      </c>
      <c r="B880" t="s">
        <v>336</v>
      </c>
      <c r="C880">
        <v>10</v>
      </c>
      <c r="D880">
        <f t="shared" si="65"/>
        <v>10</v>
      </c>
      <c r="E880" t="str">
        <f t="shared" si="66"/>
        <v/>
      </c>
      <c r="F880" t="str">
        <f t="shared" ref="F880:F911" si="68">SUBSTITUTE(UPPER(CLEAN(B880))," ","")</f>
        <v>AZUCARBLANCAAVANCE906G(10)</v>
      </c>
      <c r="G880" t="s">
        <v>2528</v>
      </c>
      <c r="H880" s="2">
        <v>3.194138467865995E-5</v>
      </c>
    </row>
    <row r="881" spans="1:8" x14ac:dyDescent="0.3">
      <c r="A881" t="s">
        <v>1350</v>
      </c>
      <c r="B881" t="s">
        <v>1351</v>
      </c>
      <c r="C881">
        <v>12</v>
      </c>
      <c r="D881">
        <f t="shared" si="65"/>
        <v>12</v>
      </c>
      <c r="E881" t="str">
        <f t="shared" si="66"/>
        <v/>
      </c>
      <c r="F881" t="str">
        <f t="shared" si="68"/>
        <v>-POTASAALAMO230GR(12)</v>
      </c>
      <c r="G881" t="s">
        <v>3035</v>
      </c>
      <c r="H881" s="2">
        <v>3.1821861202642381E-5</v>
      </c>
    </row>
    <row r="882" spans="1:8" x14ac:dyDescent="0.3">
      <c r="A882" t="s">
        <v>769</v>
      </c>
      <c r="B882" t="s">
        <v>770</v>
      </c>
      <c r="C882">
        <v>1</v>
      </c>
      <c r="D882" t="str">
        <f t="shared" si="65"/>
        <v/>
      </c>
      <c r="E882">
        <f t="shared" si="66"/>
        <v>200</v>
      </c>
      <c r="F882" t="str">
        <f t="shared" si="68"/>
        <v>CONTENEDOR8X8LISOLEONC/200PZA</v>
      </c>
      <c r="G882" t="s">
        <v>2745</v>
      </c>
      <c r="H882" s="2">
        <v>3.1750132685163813E-5</v>
      </c>
    </row>
    <row r="883" spans="1:8" x14ac:dyDescent="0.3">
      <c r="A883" t="s">
        <v>1520</v>
      </c>
      <c r="B883" t="s">
        <v>1521</v>
      </c>
      <c r="C883">
        <v>12</v>
      </c>
      <c r="D883">
        <f t="shared" si="65"/>
        <v>12</v>
      </c>
      <c r="E883" t="str">
        <f t="shared" si="66"/>
        <v/>
      </c>
      <c r="F883" t="str">
        <f t="shared" si="68"/>
        <v>-GALLETASHABANERAINTEGGAMESA468(12)</v>
      </c>
      <c r="G883" t="s">
        <v>3120</v>
      </c>
      <c r="H883" s="2">
        <v>3.1622915776077329E-5</v>
      </c>
    </row>
    <row r="884" spans="1:8" x14ac:dyDescent="0.3">
      <c r="A884" t="s">
        <v>1710</v>
      </c>
      <c r="B884" t="s">
        <v>1711</v>
      </c>
      <c r="C884">
        <v>24</v>
      </c>
      <c r="D884">
        <f t="shared" si="65"/>
        <v>24</v>
      </c>
      <c r="E884" t="str">
        <f t="shared" si="66"/>
        <v/>
      </c>
      <c r="F884" t="str">
        <f t="shared" si="68"/>
        <v>CHILEJALAPEÑOCOSTEÑA380G(24)</v>
      </c>
      <c r="G884" t="s">
        <v>3215</v>
      </c>
      <c r="H884" s="2">
        <v>3.1520132891746594E-5</v>
      </c>
    </row>
    <row r="885" spans="1:8" x14ac:dyDescent="0.3">
      <c r="A885" t="s">
        <v>995</v>
      </c>
      <c r="B885" t="s">
        <v>996</v>
      </c>
      <c r="C885">
        <v>12</v>
      </c>
      <c r="D885">
        <f t="shared" si="65"/>
        <v>12</v>
      </c>
      <c r="E885" t="str">
        <f t="shared" si="66"/>
        <v/>
      </c>
      <c r="F885" t="str">
        <f t="shared" si="68"/>
        <v>ACEITEAVE400ML(12)</v>
      </c>
      <c r="G885" t="s">
        <v>2858</v>
      </c>
      <c r="H885" s="2">
        <v>3.1454766937202657E-5</v>
      </c>
    </row>
    <row r="886" spans="1:8" x14ac:dyDescent="0.3">
      <c r="A886" t="s">
        <v>2023</v>
      </c>
      <c r="B886" t="s">
        <v>2024</v>
      </c>
      <c r="C886">
        <v>24</v>
      </c>
      <c r="D886">
        <f t="shared" si="65"/>
        <v>24</v>
      </c>
      <c r="E886" t="str">
        <f t="shared" si="66"/>
        <v/>
      </c>
      <c r="F886" t="str">
        <f t="shared" si="68"/>
        <v>KNORRCALDOCOSTILLAC/8CUBOS(24)</v>
      </c>
      <c r="G886" t="s">
        <v>3371</v>
      </c>
      <c r="H886" s="2">
        <v>3.1035434713336844E-5</v>
      </c>
    </row>
    <row r="887" spans="1:8" x14ac:dyDescent="0.3">
      <c r="A887" t="s">
        <v>95</v>
      </c>
      <c r="B887" t="s">
        <v>96</v>
      </c>
      <c r="C887">
        <v>1</v>
      </c>
      <c r="D887" t="str">
        <f t="shared" si="65"/>
        <v/>
      </c>
      <c r="E887" t="str">
        <f t="shared" si="66"/>
        <v/>
      </c>
      <c r="F887" t="str">
        <f t="shared" si="68"/>
        <v>ACEITEDECANOLA20LITROS</v>
      </c>
      <c r="G887" t="s">
        <v>2408</v>
      </c>
      <c r="H887" s="2">
        <v>3.089420500139772E-5</v>
      </c>
    </row>
    <row r="888" spans="1:8" x14ac:dyDescent="0.3">
      <c r="A888" t="s">
        <v>473</v>
      </c>
      <c r="B888" t="s">
        <v>474</v>
      </c>
      <c r="C888">
        <v>24</v>
      </c>
      <c r="D888">
        <f t="shared" si="65"/>
        <v>24</v>
      </c>
      <c r="E888" t="str">
        <f t="shared" si="66"/>
        <v/>
      </c>
      <c r="F888" t="str">
        <f t="shared" si="68"/>
        <v>BEBIDAGATORADENARANJA500ML(24)</v>
      </c>
      <c r="G888" t="s">
        <v>2597</v>
      </c>
      <c r="H888" s="2">
        <v>3.061405511152014E-5</v>
      </c>
    </row>
    <row r="889" spans="1:8" x14ac:dyDescent="0.3">
      <c r="A889" t="s">
        <v>1672</v>
      </c>
      <c r="B889" t="s">
        <v>1673</v>
      </c>
      <c r="C889">
        <v>12</v>
      </c>
      <c r="D889">
        <f t="shared" si="65"/>
        <v>12</v>
      </c>
      <c r="E889" t="str">
        <f t="shared" si="66"/>
        <v/>
      </c>
      <c r="F889" t="str">
        <f t="shared" si="68"/>
        <v>NUEZMOSCADAMC60G(12)</v>
      </c>
      <c r="G889" t="s">
        <v>3196</v>
      </c>
      <c r="H889" s="2">
        <v>3.052571711794771E-5</v>
      </c>
    </row>
    <row r="890" spans="1:8" x14ac:dyDescent="0.3">
      <c r="A890" t="s">
        <v>953</v>
      </c>
      <c r="B890" t="s">
        <v>954</v>
      </c>
      <c r="D890" t="str">
        <f t="shared" si="65"/>
        <v/>
      </c>
      <c r="E890">
        <f t="shared" si="66"/>
        <v>20</v>
      </c>
      <c r="F890" t="str">
        <f t="shared" si="68"/>
        <v>CIGARROSMARLBOROLIGTH100CAPSC/20</v>
      </c>
      <c r="G890" t="s">
        <v>2837</v>
      </c>
      <c r="H890" s="2">
        <v>3.0489341013446511E-5</v>
      </c>
    </row>
    <row r="891" spans="1:8" x14ac:dyDescent="0.3">
      <c r="A891" t="s">
        <v>463</v>
      </c>
      <c r="B891" t="s">
        <v>464</v>
      </c>
      <c r="C891">
        <v>12</v>
      </c>
      <c r="D891">
        <f t="shared" si="65"/>
        <v>12</v>
      </c>
      <c r="E891" t="str">
        <f t="shared" si="66"/>
        <v/>
      </c>
      <c r="F891" t="str">
        <f t="shared" si="68"/>
        <v>HARINAP/PASTELVAINILF,DUNCAN432G(12</v>
      </c>
      <c r="G891" t="s">
        <v>2592</v>
      </c>
      <c r="H891" s="2">
        <v>3.0299856446496756E-5</v>
      </c>
    </row>
    <row r="892" spans="1:8" x14ac:dyDescent="0.3">
      <c r="A892" t="s">
        <v>35</v>
      </c>
      <c r="B892" t="s">
        <v>36</v>
      </c>
      <c r="C892">
        <v>40</v>
      </c>
      <c r="D892">
        <f t="shared" si="65"/>
        <v>12</v>
      </c>
      <c r="E892" t="str">
        <f t="shared" si="66"/>
        <v/>
      </c>
      <c r="F892" t="str">
        <f t="shared" si="68"/>
        <v>#V8SPLASHBERRYBLEND500ML(12)</v>
      </c>
      <c r="G892" t="s">
        <v>2378</v>
      </c>
      <c r="H892" s="2">
        <v>3.0186001294555146E-5</v>
      </c>
    </row>
    <row r="893" spans="1:8" x14ac:dyDescent="0.3">
      <c r="A893" t="s">
        <v>1731</v>
      </c>
      <c r="B893" t="s">
        <v>1732</v>
      </c>
      <c r="C893">
        <v>12</v>
      </c>
      <c r="D893">
        <f t="shared" si="65"/>
        <v>12</v>
      </c>
      <c r="E893" t="str">
        <f t="shared" si="66"/>
        <v/>
      </c>
      <c r="F893" t="str">
        <f t="shared" si="68"/>
        <v>FLASHBRISAMARINA1LTO(12)</v>
      </c>
      <c r="G893" t="s">
        <v>3225</v>
      </c>
      <c r="H893" s="2">
        <v>3.0145309381045332E-5</v>
      </c>
    </row>
    <row r="894" spans="1:8" x14ac:dyDescent="0.3">
      <c r="A894" t="s">
        <v>469</v>
      </c>
      <c r="B894" t="s">
        <v>470</v>
      </c>
      <c r="C894">
        <v>1</v>
      </c>
      <c r="D894" t="str">
        <f t="shared" si="65"/>
        <v/>
      </c>
      <c r="E894" t="str">
        <f t="shared" si="66"/>
        <v/>
      </c>
      <c r="F894" t="str">
        <f t="shared" si="68"/>
        <v>HARINADETRIGOESPIGACONPROTEINA10K</v>
      </c>
      <c r="G894" t="s">
        <v>2595</v>
      </c>
      <c r="H894" s="2">
        <v>2.9892690693740952E-5</v>
      </c>
    </row>
    <row r="895" spans="1:8" x14ac:dyDescent="0.3">
      <c r="A895" t="s">
        <v>1502</v>
      </c>
      <c r="B895" t="s">
        <v>1503</v>
      </c>
      <c r="C895">
        <v>6</v>
      </c>
      <c r="D895">
        <f t="shared" si="65"/>
        <v>6</v>
      </c>
      <c r="E895" t="str">
        <f t="shared" si="66"/>
        <v/>
      </c>
      <c r="F895" t="str">
        <f t="shared" si="68"/>
        <v>ACEITEOLIVAE.VCARBONELL2L(6)PET</v>
      </c>
      <c r="G895" t="s">
        <v>3111</v>
      </c>
      <c r="H895" s="2">
        <v>2.988179841386206E-5</v>
      </c>
    </row>
    <row r="896" spans="1:8" x14ac:dyDescent="0.3">
      <c r="A896" t="s">
        <v>1612</v>
      </c>
      <c r="B896" t="s">
        <v>1613</v>
      </c>
      <c r="C896">
        <v>6</v>
      </c>
      <c r="D896">
        <f t="shared" si="65"/>
        <v>6</v>
      </c>
      <c r="E896" t="str">
        <f t="shared" si="66"/>
        <v/>
      </c>
      <c r="F896" t="str">
        <f t="shared" si="68"/>
        <v>VINAGREJEREZCARBONELL250ML(6)</v>
      </c>
      <c r="G896" t="s">
        <v>3166</v>
      </c>
      <c r="H896" s="2">
        <v>2.9686929361387272E-5</v>
      </c>
    </row>
    <row r="897" spans="1:8" x14ac:dyDescent="0.3">
      <c r="A897" t="s">
        <v>27</v>
      </c>
      <c r="B897" t="s">
        <v>28</v>
      </c>
      <c r="C897">
        <v>40</v>
      </c>
      <c r="D897">
        <f t="shared" si="65"/>
        <v>12</v>
      </c>
      <c r="E897" t="str">
        <f t="shared" si="66"/>
        <v/>
      </c>
      <c r="F897" t="str">
        <f t="shared" si="68"/>
        <v>#V8SPLASHSTRAWKIWI500ML(12)</v>
      </c>
      <c r="G897" t="s">
        <v>2374</v>
      </c>
      <c r="H897" s="2">
        <v>2.9298177727068231E-5</v>
      </c>
    </row>
    <row r="898" spans="1:8" x14ac:dyDescent="0.3">
      <c r="A898" t="s">
        <v>37</v>
      </c>
      <c r="B898" t="s">
        <v>38</v>
      </c>
      <c r="C898">
        <v>40</v>
      </c>
      <c r="D898">
        <f t="shared" ref="D898:D961" si="69">IFERROR(VALUE(IFERROR(
    MID(G898,FIND("(",G898)+1,FIND(")",G898)-FIND("(",G898)-1),
    IFERROR(
        MID(G898,FIND("(",G898)+1,LEN(G898)-FIND("(",G898)),
        ""
    )
)),"")</f>
        <v>12</v>
      </c>
      <c r="E898" t="str">
        <f t="shared" ref="E898:E961" si="70">IFERROR(VALUE(MID(SUBSTITUTE(G898," ",""),
FIND("/",SUBSTITUTE(G898," ",""))+1,
MIN(IFERROR(FIND("PZS",SUBSTITUTE(G898," ","")),999),
    IFERROR(FIND("PZA",SUBSTITUTE(G898," ","")),999))
-FIND("/",SUBSTITUTE(G898," ",""))-1)),"")</f>
        <v/>
      </c>
      <c r="F898" t="str">
        <f t="shared" si="68"/>
        <v>#V8SPLASHORANGE500ML(12)</v>
      </c>
      <c r="G898" t="s">
        <v>2379</v>
      </c>
      <c r="H898" s="2">
        <v>2.9298177727068231E-5</v>
      </c>
    </row>
    <row r="899" spans="1:8" x14ac:dyDescent="0.3">
      <c r="A899" t="s">
        <v>411</v>
      </c>
      <c r="B899" t="s">
        <v>412</v>
      </c>
      <c r="C899">
        <v>1</v>
      </c>
      <c r="D899" t="str">
        <f t="shared" si="69"/>
        <v/>
      </c>
      <c r="E899" t="str">
        <f t="shared" si="70"/>
        <v/>
      </c>
      <c r="F899" t="str">
        <f t="shared" si="68"/>
        <v>-GALLETASOREONABISCOC/21/114GR</v>
      </c>
      <c r="G899" t="s">
        <v>2566</v>
      </c>
      <c r="H899" s="2">
        <v>2.908608654150191E-5</v>
      </c>
    </row>
    <row r="900" spans="1:8" x14ac:dyDescent="0.3">
      <c r="A900" t="s">
        <v>779</v>
      </c>
      <c r="B900" t="s">
        <v>780</v>
      </c>
      <c r="C900">
        <v>1</v>
      </c>
      <c r="D900" t="str">
        <f t="shared" si="69"/>
        <v/>
      </c>
      <c r="E900">
        <f t="shared" si="70"/>
        <v>2500</v>
      </c>
      <c r="F900" t="str">
        <f t="shared" si="68"/>
        <v>SOUFFLETRANSP4OZSOLOP400NC/2500</v>
      </c>
      <c r="G900" t="s">
        <v>2750</v>
      </c>
      <c r="H900" s="2">
        <v>2.88488403548568E-5</v>
      </c>
    </row>
    <row r="901" spans="1:8" x14ac:dyDescent="0.3">
      <c r="A901" t="s">
        <v>319</v>
      </c>
      <c r="B901" t="s">
        <v>320</v>
      </c>
      <c r="C901">
        <v>10</v>
      </c>
      <c r="D901">
        <f t="shared" si="69"/>
        <v>10</v>
      </c>
      <c r="E901" t="str">
        <f t="shared" si="70"/>
        <v/>
      </c>
      <c r="F901" t="str">
        <f t="shared" si="68"/>
        <v>-SAZONADORRESAJI-SAZON1KG(10)</v>
      </c>
      <c r="G901" t="s">
        <v>2520</v>
      </c>
      <c r="H901" s="2">
        <v>2.8625653867878104E-5</v>
      </c>
    </row>
    <row r="902" spans="1:8" x14ac:dyDescent="0.3">
      <c r="A902" t="s">
        <v>1512</v>
      </c>
      <c r="B902" t="s">
        <v>1513</v>
      </c>
      <c r="C902">
        <v>6</v>
      </c>
      <c r="D902">
        <f t="shared" si="69"/>
        <v>6</v>
      </c>
      <c r="E902" t="str">
        <f t="shared" si="70"/>
        <v/>
      </c>
      <c r="F902" t="str">
        <f t="shared" si="68"/>
        <v>CHILEJALAPEÑOENTEROHERDEZ2.7K(6)</v>
      </c>
      <c r="G902" t="s">
        <v>3116</v>
      </c>
      <c r="H902" s="2">
        <v>2.8387911952736506E-5</v>
      </c>
    </row>
    <row r="903" spans="1:8" x14ac:dyDescent="0.3">
      <c r="A903" t="s">
        <v>2115</v>
      </c>
      <c r="B903" t="s">
        <v>2116</v>
      </c>
      <c r="C903">
        <v>24</v>
      </c>
      <c r="D903">
        <f t="shared" si="69"/>
        <v>24</v>
      </c>
      <c r="E903" t="str">
        <f t="shared" si="70"/>
        <v/>
      </c>
      <c r="F903" t="str">
        <f t="shared" si="68"/>
        <v>PASTAYEMINAPLUMILLAN.1200GR(24)</v>
      </c>
      <c r="G903" t="s">
        <v>3417</v>
      </c>
      <c r="H903" s="2">
        <v>2.8159870509652178E-5</v>
      </c>
    </row>
    <row r="904" spans="1:8" x14ac:dyDescent="0.3">
      <c r="A904" t="s">
        <v>271</v>
      </c>
      <c r="B904" t="s">
        <v>272</v>
      </c>
      <c r="C904">
        <v>12</v>
      </c>
      <c r="D904">
        <f t="shared" si="69"/>
        <v>12</v>
      </c>
      <c r="E904" t="str">
        <f t="shared" si="70"/>
        <v/>
      </c>
      <c r="F904" t="str">
        <f t="shared" si="68"/>
        <v>TANGTAMARINDOC/8/13G(12)</v>
      </c>
      <c r="G904" t="s">
        <v>2496</v>
      </c>
      <c r="H904" s="2">
        <v>2.7799923743184195E-5</v>
      </c>
    </row>
    <row r="905" spans="1:8" x14ac:dyDescent="0.3">
      <c r="A905" t="s">
        <v>2071</v>
      </c>
      <c r="B905" t="s">
        <v>2072</v>
      </c>
      <c r="C905">
        <v>8</v>
      </c>
      <c r="D905">
        <f t="shared" si="69"/>
        <v>8</v>
      </c>
      <c r="E905" t="str">
        <f t="shared" si="70"/>
        <v/>
      </c>
      <c r="F905" t="str">
        <f t="shared" si="68"/>
        <v>BETUNVAINILLA/CREAMYBETTYC.453GR(8)</v>
      </c>
      <c r="G905" t="s">
        <v>3395</v>
      </c>
      <c r="H905" s="2">
        <v>2.7721222218262537E-5</v>
      </c>
    </row>
    <row r="906" spans="1:8" x14ac:dyDescent="0.3">
      <c r="A906" t="s">
        <v>1626</v>
      </c>
      <c r="B906" t="s">
        <v>1627</v>
      </c>
      <c r="C906">
        <v>1</v>
      </c>
      <c r="D906" t="str">
        <f t="shared" si="69"/>
        <v/>
      </c>
      <c r="E906" t="str">
        <f t="shared" si="70"/>
        <v/>
      </c>
      <c r="F906" t="str">
        <f t="shared" si="68"/>
        <v>-PINOL9LTSORIGINAL</v>
      </c>
      <c r="G906" t="s">
        <v>3173</v>
      </c>
      <c r="H906" s="2">
        <v>2.7258526389595861E-5</v>
      </c>
    </row>
    <row r="907" spans="1:8" x14ac:dyDescent="0.3">
      <c r="A907" t="s">
        <v>1327</v>
      </c>
      <c r="B907" t="s">
        <v>1328</v>
      </c>
      <c r="C907">
        <v>1</v>
      </c>
      <c r="D907">
        <f t="shared" si="69"/>
        <v>12</v>
      </c>
      <c r="E907" t="str">
        <f t="shared" si="70"/>
        <v/>
      </c>
      <c r="F907" t="str">
        <f t="shared" si="68"/>
        <v>PINOL828ML+2PINOLAROMA500ML(12)B9</v>
      </c>
      <c r="G907" t="s">
        <v>3024</v>
      </c>
      <c r="H907" s="2">
        <v>2.7228067398995477E-5</v>
      </c>
    </row>
    <row r="908" spans="1:8" x14ac:dyDescent="0.3">
      <c r="A908" t="s">
        <v>1668</v>
      </c>
      <c r="B908" t="s">
        <v>1669</v>
      </c>
      <c r="C908">
        <v>12</v>
      </c>
      <c r="D908">
        <f t="shared" si="69"/>
        <v>12</v>
      </c>
      <c r="E908" t="str">
        <f t="shared" si="70"/>
        <v/>
      </c>
      <c r="F908" t="str">
        <f t="shared" si="68"/>
        <v>AJOENPOLVOMC77G(12)</v>
      </c>
      <c r="G908" t="s">
        <v>3194</v>
      </c>
      <c r="H908" s="2">
        <v>2.7109671611318331E-5</v>
      </c>
    </row>
    <row r="909" spans="1:8" x14ac:dyDescent="0.3">
      <c r="A909" t="s">
        <v>1578</v>
      </c>
      <c r="B909" t="s">
        <v>1579</v>
      </c>
      <c r="C909">
        <v>12</v>
      </c>
      <c r="D909">
        <f t="shared" si="69"/>
        <v>12</v>
      </c>
      <c r="E909" t="str">
        <f t="shared" si="70"/>
        <v/>
      </c>
      <c r="F909" t="str">
        <f t="shared" si="68"/>
        <v>MIELKAROBEBE/CRISTAL500ML(12)</v>
      </c>
      <c r="G909" t="s">
        <v>3149</v>
      </c>
      <c r="H909" s="2">
        <v>2.6575238096216295E-5</v>
      </c>
    </row>
    <row r="910" spans="1:8" x14ac:dyDescent="0.3">
      <c r="A910" t="s">
        <v>2007</v>
      </c>
      <c r="B910" t="s">
        <v>2008</v>
      </c>
      <c r="C910">
        <v>25</v>
      </c>
      <c r="D910">
        <f t="shared" si="69"/>
        <v>25</v>
      </c>
      <c r="E910" t="str">
        <f t="shared" si="70"/>
        <v/>
      </c>
      <c r="F910" t="str">
        <f t="shared" si="68"/>
        <v>PASTASPAGHETTI#7BARILLA500GR(25)</v>
      </c>
      <c r="G910" t="s">
        <v>3363</v>
      </c>
      <c r="H910" s="2">
        <v>2.6439542465812665E-5</v>
      </c>
    </row>
    <row r="911" spans="1:8" x14ac:dyDescent="0.3">
      <c r="A911" t="s">
        <v>2281</v>
      </c>
      <c r="B911" t="s">
        <v>2282</v>
      </c>
      <c r="C911">
        <v>14</v>
      </c>
      <c r="D911">
        <f t="shared" si="69"/>
        <v>14</v>
      </c>
      <c r="E911" t="str">
        <f t="shared" si="70"/>
        <v/>
      </c>
      <c r="F911" t="str">
        <f t="shared" si="68"/>
        <v>CHILORIODECERDOLACHATA215GR(14)</v>
      </c>
      <c r="G911" t="s">
        <v>3500</v>
      </c>
      <c r="H911" s="2">
        <v>2.612239994381318E-5</v>
      </c>
    </row>
    <row r="912" spans="1:8" x14ac:dyDescent="0.3">
      <c r="A912" t="s">
        <v>1861</v>
      </c>
      <c r="B912" t="s">
        <v>1862</v>
      </c>
      <c r="C912">
        <v>12</v>
      </c>
      <c r="D912">
        <f t="shared" si="69"/>
        <v>12</v>
      </c>
      <c r="E912" t="str">
        <f t="shared" si="70"/>
        <v/>
      </c>
      <c r="F912" t="str">
        <f t="shared" ref="F912:F934" si="71">SUBSTITUTE(UPPER(CLEAN(B912))," ","")</f>
        <v>TOMATEDESHIDRATADOSANMIGUEL340GR(12</v>
      </c>
      <c r="G912" t="s">
        <v>3290</v>
      </c>
      <c r="H912" s="2">
        <v>2.5600145950827591E-5</v>
      </c>
    </row>
    <row r="913" spans="1:8" x14ac:dyDescent="0.3">
      <c r="A913" t="s">
        <v>1658</v>
      </c>
      <c r="B913" t="s">
        <v>1659</v>
      </c>
      <c r="C913">
        <v>24</v>
      </c>
      <c r="D913">
        <f t="shared" si="69"/>
        <v>24</v>
      </c>
      <c r="E913" t="str">
        <f t="shared" si="70"/>
        <v/>
      </c>
      <c r="F913" t="str">
        <f t="shared" si="71"/>
        <v>MERMELADAFRESAMC270G(24)</v>
      </c>
      <c r="G913" t="s">
        <v>3189</v>
      </c>
      <c r="H913" s="2">
        <v>2.5415988004885319E-5</v>
      </c>
    </row>
    <row r="914" spans="1:8" x14ac:dyDescent="0.3">
      <c r="A914" t="s">
        <v>221</v>
      </c>
      <c r="B914" t="s">
        <v>222</v>
      </c>
      <c r="C914">
        <v>4</v>
      </c>
      <c r="D914">
        <f t="shared" si="69"/>
        <v>4</v>
      </c>
      <c r="E914" t="str">
        <f t="shared" si="70"/>
        <v/>
      </c>
      <c r="F914" t="str">
        <f t="shared" si="71"/>
        <v>CONCENTRADOTAMARINDOF-DIAZ5L(4)</v>
      </c>
      <c r="G914" t="s">
        <v>2471</v>
      </c>
      <c r="H914" s="2">
        <v>2.5374221679107804E-5</v>
      </c>
    </row>
    <row r="915" spans="1:8" x14ac:dyDescent="0.3">
      <c r="A915" t="s">
        <v>21</v>
      </c>
      <c r="B915" t="s">
        <v>22</v>
      </c>
      <c r="C915">
        <v>24</v>
      </c>
      <c r="D915" t="str">
        <f t="shared" si="69"/>
        <v/>
      </c>
      <c r="E915" t="str">
        <f t="shared" si="70"/>
        <v/>
      </c>
      <c r="F915" t="str">
        <f t="shared" si="71"/>
        <v>-GALLETASSURTIDOCREMAX1008G</v>
      </c>
      <c r="G915" t="s">
        <v>2371</v>
      </c>
      <c r="H915" s="2">
        <v>2.5365769294747966E-5</v>
      </c>
    </row>
    <row r="916" spans="1:8" x14ac:dyDescent="0.3">
      <c r="A916" t="s">
        <v>839</v>
      </c>
      <c r="B916" t="s">
        <v>840</v>
      </c>
      <c r="C916">
        <v>20</v>
      </c>
      <c r="D916">
        <f t="shared" si="69"/>
        <v>20</v>
      </c>
      <c r="E916" t="str">
        <f t="shared" si="70"/>
        <v/>
      </c>
      <c r="F916" t="str">
        <f t="shared" si="71"/>
        <v>DETER.SALVOPLUS500GR(20)</v>
      </c>
      <c r="G916" t="s">
        <v>2780</v>
      </c>
      <c r="H916" s="2">
        <v>2.5266537069852223E-5</v>
      </c>
    </row>
    <row r="917" spans="1:8" x14ac:dyDescent="0.3">
      <c r="A917" t="s">
        <v>763</v>
      </c>
      <c r="B917" t="s">
        <v>764</v>
      </c>
      <c r="C917">
        <v>10</v>
      </c>
      <c r="D917">
        <f t="shared" si="69"/>
        <v>10</v>
      </c>
      <c r="E917" t="str">
        <f t="shared" si="70"/>
        <v/>
      </c>
      <c r="F917" t="str">
        <f t="shared" si="71"/>
        <v>ALUMINIO30X27SUPERIDEALC/150H(10)</v>
      </c>
      <c r="G917" t="s">
        <v>2742</v>
      </c>
      <c r="H917" s="2">
        <v>2.50478046036105E-5</v>
      </c>
    </row>
    <row r="918" spans="1:8" x14ac:dyDescent="0.3">
      <c r="A918" t="s">
        <v>1869</v>
      </c>
      <c r="B918" t="s">
        <v>1870</v>
      </c>
      <c r="C918">
        <v>12</v>
      </c>
      <c r="D918">
        <f t="shared" si="69"/>
        <v>12</v>
      </c>
      <c r="E918" t="str">
        <f t="shared" si="70"/>
        <v/>
      </c>
      <c r="F918" t="str">
        <f t="shared" si="71"/>
        <v>ARROZARBORIOSANMIGUEL500GR(12)</v>
      </c>
      <c r="G918" t="s">
        <v>3294</v>
      </c>
      <c r="H918" s="2">
        <v>2.4998809895626963E-5</v>
      </c>
    </row>
    <row r="919" spans="1:8" x14ac:dyDescent="0.3">
      <c r="A919" t="s">
        <v>217</v>
      </c>
      <c r="B919" t="s">
        <v>218</v>
      </c>
      <c r="C919">
        <v>4</v>
      </c>
      <c r="D919">
        <f t="shared" si="69"/>
        <v>4</v>
      </c>
      <c r="E919" t="str">
        <f t="shared" si="70"/>
        <v/>
      </c>
      <c r="F919" t="str">
        <f t="shared" si="71"/>
        <v>CONCENTRADOJAMAICAF-DIAZ5L(4)</v>
      </c>
      <c r="G919" t="s">
        <v>2469</v>
      </c>
      <c r="H919" s="2">
        <v>2.4653545174937606E-5</v>
      </c>
    </row>
    <row r="920" spans="1:8" x14ac:dyDescent="0.3">
      <c r="A920" t="s">
        <v>2045</v>
      </c>
      <c r="B920" t="s">
        <v>2046</v>
      </c>
      <c r="C920">
        <v>6</v>
      </c>
      <c r="D920">
        <f t="shared" si="69"/>
        <v>6</v>
      </c>
      <c r="E920" t="str">
        <f t="shared" si="70"/>
        <v/>
      </c>
      <c r="F920" t="str">
        <f t="shared" si="71"/>
        <v>ADEREZOITALIANOCLEMENTE710ML(6)</v>
      </c>
      <c r="G920" t="s">
        <v>3382</v>
      </c>
      <c r="H920" s="2">
        <v>2.4537141640533767E-5</v>
      </c>
    </row>
    <row r="921" spans="1:8" x14ac:dyDescent="0.3">
      <c r="A921" t="s">
        <v>1915</v>
      </c>
      <c r="B921" t="s">
        <v>1916</v>
      </c>
      <c r="C921">
        <v>6</v>
      </c>
      <c r="D921" t="str">
        <f t="shared" si="69"/>
        <v/>
      </c>
      <c r="E921" t="str">
        <f t="shared" si="70"/>
        <v/>
      </c>
      <c r="F921" t="str">
        <f t="shared" si="71"/>
        <v>-KNORRBASEDETOMATEDESHIDRATADO500G</v>
      </c>
      <c r="G921" t="s">
        <v>3317</v>
      </c>
      <c r="H921" s="2">
        <v>2.4517946566181156E-5</v>
      </c>
    </row>
    <row r="922" spans="1:8" x14ac:dyDescent="0.3">
      <c r="A922" t="s">
        <v>1923</v>
      </c>
      <c r="B922" t="s">
        <v>1924</v>
      </c>
      <c r="C922">
        <v>1</v>
      </c>
      <c r="D922" t="str">
        <f t="shared" si="69"/>
        <v/>
      </c>
      <c r="E922" t="str">
        <f t="shared" si="70"/>
        <v/>
      </c>
      <c r="F922" t="str">
        <f t="shared" si="71"/>
        <v>%HARINAHOTCAKESCARTED'OR5K</v>
      </c>
      <c r="G922" t="s">
        <v>3321</v>
      </c>
      <c r="H922" s="2">
        <v>2.4353493691481378E-5</v>
      </c>
    </row>
    <row r="923" spans="1:8" x14ac:dyDescent="0.3">
      <c r="A923" t="s">
        <v>1001</v>
      </c>
      <c r="B923" t="s">
        <v>1002</v>
      </c>
      <c r="C923">
        <v>12</v>
      </c>
      <c r="D923">
        <f t="shared" si="69"/>
        <v>12</v>
      </c>
      <c r="E923" t="str">
        <f t="shared" si="70"/>
        <v/>
      </c>
      <c r="F923" t="str">
        <f t="shared" si="71"/>
        <v>PINOLAROMASLAVANDA828ML(12)</v>
      </c>
      <c r="G923" t="s">
        <v>2861</v>
      </c>
      <c r="H923" s="2">
        <v>2.4276517221808554E-5</v>
      </c>
    </row>
    <row r="924" spans="1:8" x14ac:dyDescent="0.3">
      <c r="A924" t="s">
        <v>1991</v>
      </c>
      <c r="B924" t="s">
        <v>1992</v>
      </c>
      <c r="C924">
        <v>144</v>
      </c>
      <c r="D924">
        <f t="shared" si="69"/>
        <v>144</v>
      </c>
      <c r="E924" t="str">
        <f t="shared" si="70"/>
        <v/>
      </c>
      <c r="F924" t="str">
        <f t="shared" si="71"/>
        <v>MAIZENASABORCHOCOLATE45GR(144)</v>
      </c>
      <c r="G924" t="s">
        <v>3355</v>
      </c>
      <c r="H924" s="2">
        <v>2.4155534246750675E-5</v>
      </c>
    </row>
    <row r="925" spans="1:8" x14ac:dyDescent="0.3">
      <c r="A925" t="s">
        <v>1769</v>
      </c>
      <c r="B925" t="s">
        <v>1770</v>
      </c>
      <c r="C925">
        <v>6</v>
      </c>
      <c r="D925">
        <f t="shared" si="69"/>
        <v>6</v>
      </c>
      <c r="E925" t="str">
        <f t="shared" si="70"/>
        <v/>
      </c>
      <c r="F925" t="str">
        <f t="shared" si="71"/>
        <v>CHILEROJOTRITURADOMC368G(6)</v>
      </c>
      <c r="G925" t="s">
        <v>3244</v>
      </c>
      <c r="H925" s="2">
        <v>2.4139100741110465E-5</v>
      </c>
    </row>
    <row r="926" spans="1:8" x14ac:dyDescent="0.3">
      <c r="A926" t="s">
        <v>89</v>
      </c>
      <c r="B926" t="s">
        <v>90</v>
      </c>
      <c r="C926">
        <v>12</v>
      </c>
      <c r="D926">
        <f t="shared" si="69"/>
        <v>12</v>
      </c>
      <c r="E926" t="str">
        <f t="shared" si="70"/>
        <v/>
      </c>
      <c r="F926" t="str">
        <f t="shared" si="71"/>
        <v>ACEITEAJONJOLIE.VINES250ML(12)</v>
      </c>
      <c r="G926" t="s">
        <v>2405</v>
      </c>
      <c r="H926" s="2">
        <v>2.4064909929105194E-5</v>
      </c>
    </row>
    <row r="927" spans="1:8" x14ac:dyDescent="0.3">
      <c r="A927" t="s">
        <v>1348</v>
      </c>
      <c r="B927" t="s">
        <v>1349</v>
      </c>
      <c r="C927">
        <v>15</v>
      </c>
      <c r="D927">
        <f t="shared" si="69"/>
        <v>15</v>
      </c>
      <c r="E927" t="str">
        <f t="shared" si="70"/>
        <v/>
      </c>
      <c r="F927" t="str">
        <f t="shared" si="71"/>
        <v>-ACIDOMURIATEXALAMO750ML(15)</v>
      </c>
      <c r="G927" t="s">
        <v>3034</v>
      </c>
      <c r="H927" s="2">
        <v>2.384780418450029E-5</v>
      </c>
    </row>
    <row r="928" spans="1:8" x14ac:dyDescent="0.3">
      <c r="A928" t="s">
        <v>597</v>
      </c>
      <c r="B928" t="s">
        <v>598</v>
      </c>
      <c r="C928">
        <v>3</v>
      </c>
      <c r="D928">
        <f t="shared" si="69"/>
        <v>3</v>
      </c>
      <c r="E928" t="str">
        <f t="shared" si="70"/>
        <v/>
      </c>
      <c r="F928" t="str">
        <f t="shared" si="71"/>
        <v>PASTAYEMINAFIDEOMEDIANO4KG(3)</v>
      </c>
      <c r="G928" t="s">
        <v>2659</v>
      </c>
      <c r="H928" s="2">
        <v>2.3528639832577331E-5</v>
      </c>
    </row>
    <row r="929" spans="1:8" x14ac:dyDescent="0.3">
      <c r="A929" t="s">
        <v>2227</v>
      </c>
      <c r="B929" t="s">
        <v>2228</v>
      </c>
      <c r="C929">
        <v>10</v>
      </c>
      <c r="D929">
        <f t="shared" si="69"/>
        <v>10</v>
      </c>
      <c r="E929" t="str">
        <f t="shared" si="70"/>
        <v/>
      </c>
      <c r="F929" t="str">
        <f t="shared" si="71"/>
        <v>GUANTELATEXINTERPLASTMED.C/100(10)</v>
      </c>
      <c r="G929" t="s">
        <v>3473</v>
      </c>
      <c r="H929" s="2">
        <v>2.3262416071160075E-5</v>
      </c>
    </row>
    <row r="930" spans="1:8" x14ac:dyDescent="0.3">
      <c r="A930" t="s">
        <v>359</v>
      </c>
      <c r="B930" t="s">
        <v>360</v>
      </c>
      <c r="C930">
        <v>1</v>
      </c>
      <c r="D930" t="str">
        <f t="shared" si="69"/>
        <v/>
      </c>
      <c r="E930" t="str">
        <f t="shared" si="70"/>
        <v/>
      </c>
      <c r="F930" t="str">
        <f t="shared" si="71"/>
        <v>AZUCARDELAGGC/1000/3.6GPORCION</v>
      </c>
      <c r="G930" t="s">
        <v>2540</v>
      </c>
      <c r="H930" s="2">
        <v>2.3117549691795651E-5</v>
      </c>
    </row>
    <row r="931" spans="1:8" x14ac:dyDescent="0.3">
      <c r="A931" t="s">
        <v>2319</v>
      </c>
      <c r="B931" t="s">
        <v>2320</v>
      </c>
      <c r="C931">
        <v>12</v>
      </c>
      <c r="D931">
        <f t="shared" si="69"/>
        <v>12</v>
      </c>
      <c r="E931" t="str">
        <f t="shared" si="70"/>
        <v/>
      </c>
      <c r="F931" t="str">
        <f t="shared" si="71"/>
        <v>PIMIENTANEGRAENTERAPRAGNA170GR(12)</v>
      </c>
      <c r="G931" t="s">
        <v>3519</v>
      </c>
      <c r="H931" s="2">
        <v>2.2721090312650694E-5</v>
      </c>
    </row>
    <row r="932" spans="1:8" x14ac:dyDescent="0.3">
      <c r="A932" t="s">
        <v>1494</v>
      </c>
      <c r="B932" t="s">
        <v>1495</v>
      </c>
      <c r="C932">
        <v>48</v>
      </c>
      <c r="D932">
        <f t="shared" si="69"/>
        <v>48</v>
      </c>
      <c r="E932" t="str">
        <f t="shared" si="70"/>
        <v/>
      </c>
      <c r="F932" t="str">
        <f t="shared" si="71"/>
        <v>SALSAHERDEZCASERAROJA210GR(48)</v>
      </c>
      <c r="G932" t="s">
        <v>3107</v>
      </c>
      <c r="H932" s="2">
        <v>2.2629369095481846E-5</v>
      </c>
    </row>
    <row r="933" spans="1:8" x14ac:dyDescent="0.3">
      <c r="A933" t="s">
        <v>429</v>
      </c>
      <c r="B933" t="s">
        <v>430</v>
      </c>
      <c r="C933">
        <v>50</v>
      </c>
      <c r="D933">
        <f t="shared" si="69"/>
        <v>50</v>
      </c>
      <c r="E933" t="str">
        <f t="shared" si="70"/>
        <v/>
      </c>
      <c r="F933" t="str">
        <f t="shared" si="71"/>
        <v>GELATINAFRESAD´GARI120G(50)</v>
      </c>
      <c r="G933" t="s">
        <v>2575</v>
      </c>
      <c r="H933" s="2">
        <v>2.2546032878672601E-5</v>
      </c>
    </row>
    <row r="934" spans="1:8" x14ac:dyDescent="0.3">
      <c r="A934" t="s">
        <v>709</v>
      </c>
      <c r="B934" t="s">
        <v>710</v>
      </c>
      <c r="C934">
        <v>6</v>
      </c>
      <c r="D934" t="str">
        <f t="shared" si="69"/>
        <v/>
      </c>
      <c r="E934" t="str">
        <f t="shared" si="70"/>
        <v/>
      </c>
      <c r="F934" t="str">
        <f t="shared" si="71"/>
        <v>CHAMPIÑONREBANADOELMEXICANO2.8K</v>
      </c>
      <c r="G934" t="s">
        <v>2715</v>
      </c>
      <c r="H934" s="2">
        <v>2.2535674937051916E-5</v>
      </c>
    </row>
    <row r="935" spans="1:8" x14ac:dyDescent="0.3">
      <c r="A935" t="s">
        <v>113</v>
      </c>
      <c r="B935" t="s">
        <v>114</v>
      </c>
      <c r="C935">
        <v>24</v>
      </c>
      <c r="D935">
        <f t="shared" si="69"/>
        <v>24</v>
      </c>
      <c r="E935" t="str">
        <f t="shared" si="70"/>
        <v/>
      </c>
      <c r="F935" t="str">
        <f>SUBSTITUTE(UPPER(CLEAN(G935))," ","")</f>
        <v>AGUAMINERALPERRIER330ML(24)</v>
      </c>
      <c r="G935" t="s">
        <v>2417</v>
      </c>
      <c r="H935" s="2">
        <v>2.2475418022703039E-5</v>
      </c>
    </row>
    <row r="936" spans="1:8" x14ac:dyDescent="0.3">
      <c r="A936" t="s">
        <v>1919</v>
      </c>
      <c r="B936" t="s">
        <v>1920</v>
      </c>
      <c r="C936">
        <v>4</v>
      </c>
      <c r="D936">
        <f t="shared" si="69"/>
        <v>4</v>
      </c>
      <c r="E936" t="str">
        <f t="shared" si="70"/>
        <v/>
      </c>
      <c r="F936" t="str">
        <f t="shared" ref="F936:F962" si="72">SUBSTITUTE(UPPER(CLEAN(B936))," ","")</f>
        <v>MAYONESAIBERIACOCINEROS3.8K(4)</v>
      </c>
      <c r="G936" t="s">
        <v>3319</v>
      </c>
      <c r="H936" s="2">
        <v>2.2224626982894316E-5</v>
      </c>
    </row>
    <row r="937" spans="1:8" x14ac:dyDescent="0.3">
      <c r="A937" t="s">
        <v>2275</v>
      </c>
      <c r="B937" t="s">
        <v>2276</v>
      </c>
      <c r="C937">
        <v>72</v>
      </c>
      <c r="D937">
        <f t="shared" si="69"/>
        <v>72</v>
      </c>
      <c r="E937" t="str">
        <f t="shared" si="70"/>
        <v/>
      </c>
      <c r="F937" t="str">
        <f t="shared" si="72"/>
        <v>CREMACOLGATE100ML(72)</v>
      </c>
      <c r="G937" t="s">
        <v>3497</v>
      </c>
      <c r="H937" s="2">
        <v>2.2149718302852746E-5</v>
      </c>
    </row>
    <row r="938" spans="1:8" x14ac:dyDescent="0.3">
      <c r="A938" t="s">
        <v>965</v>
      </c>
      <c r="B938" t="s">
        <v>966</v>
      </c>
      <c r="C938">
        <v>12</v>
      </c>
      <c r="D938">
        <f t="shared" si="69"/>
        <v>12</v>
      </c>
      <c r="E938" t="str">
        <f t="shared" si="70"/>
        <v/>
      </c>
      <c r="F938" t="str">
        <f t="shared" si="72"/>
        <v>-PURETOMATENATURAL.DELMTE1LTO(12)</v>
      </c>
      <c r="G938" t="s">
        <v>2843</v>
      </c>
      <c r="H938" s="2">
        <v>2.2001542193556896E-5</v>
      </c>
    </row>
    <row r="939" spans="1:8" x14ac:dyDescent="0.3">
      <c r="A939" t="s">
        <v>455</v>
      </c>
      <c r="B939" t="s">
        <v>456</v>
      </c>
      <c r="C939">
        <v>12</v>
      </c>
      <c r="D939">
        <f t="shared" si="69"/>
        <v>12</v>
      </c>
      <c r="E939" t="str">
        <f t="shared" si="70"/>
        <v/>
      </c>
      <c r="F939" t="str">
        <f t="shared" si="72"/>
        <v>HARINAP/PASTELBLANCADUNCAN432G(12)</v>
      </c>
      <c r="G939" t="s">
        <v>2588</v>
      </c>
      <c r="H939" s="2">
        <v>2.1926323807978142E-5</v>
      </c>
    </row>
    <row r="940" spans="1:8" x14ac:dyDescent="0.3">
      <c r="A940" t="s">
        <v>1877</v>
      </c>
      <c r="B940" t="s">
        <v>1878</v>
      </c>
      <c r="C940">
        <v>8</v>
      </c>
      <c r="D940">
        <f t="shared" si="69"/>
        <v>8</v>
      </c>
      <c r="E940" t="str">
        <f t="shared" si="70"/>
        <v/>
      </c>
      <c r="F940" t="str">
        <f t="shared" si="72"/>
        <v>CLORALEX2LTSGIGANTE(8)</v>
      </c>
      <c r="G940" t="s">
        <v>3298</v>
      </c>
      <c r="H940" s="2">
        <v>2.1921366368959512E-5</v>
      </c>
    </row>
    <row r="941" spans="1:8" x14ac:dyDescent="0.3">
      <c r="A941" t="s">
        <v>25</v>
      </c>
      <c r="B941" t="s">
        <v>26</v>
      </c>
      <c r="C941">
        <v>12</v>
      </c>
      <c r="D941">
        <f t="shared" si="69"/>
        <v>12</v>
      </c>
      <c r="E941" t="str">
        <f t="shared" si="70"/>
        <v/>
      </c>
      <c r="F941" t="str">
        <f t="shared" si="72"/>
        <v>#JUGOMANGOBIDA500ML(12)</v>
      </c>
      <c r="G941" t="s">
        <v>2373</v>
      </c>
      <c r="H941" s="2">
        <v>2.1702353871902392E-5</v>
      </c>
    </row>
    <row r="942" spans="1:8" x14ac:dyDescent="0.3">
      <c r="A942" t="s">
        <v>29</v>
      </c>
      <c r="B942" t="s">
        <v>30</v>
      </c>
      <c r="C942">
        <v>12</v>
      </c>
      <c r="D942">
        <f t="shared" si="69"/>
        <v>12</v>
      </c>
      <c r="E942" t="str">
        <f t="shared" si="70"/>
        <v/>
      </c>
      <c r="F942" t="str">
        <f t="shared" si="72"/>
        <v>#JUGOUVABIDA500ML(12)</v>
      </c>
      <c r="G942" t="s">
        <v>2375</v>
      </c>
      <c r="H942" s="2">
        <v>2.1702353871902392E-5</v>
      </c>
    </row>
    <row r="943" spans="1:8" x14ac:dyDescent="0.3">
      <c r="A943" t="s">
        <v>31</v>
      </c>
      <c r="B943" t="s">
        <v>32</v>
      </c>
      <c r="C943">
        <v>12</v>
      </c>
      <c r="D943">
        <f t="shared" si="69"/>
        <v>12</v>
      </c>
      <c r="E943" t="str">
        <f t="shared" si="70"/>
        <v/>
      </c>
      <c r="F943" t="str">
        <f t="shared" si="72"/>
        <v>#JUGOFRESABIDA500ML(12)</v>
      </c>
      <c r="G943" t="s">
        <v>2376</v>
      </c>
      <c r="H943" s="2">
        <v>2.1702353871902392E-5</v>
      </c>
    </row>
    <row r="944" spans="1:8" x14ac:dyDescent="0.3">
      <c r="A944" t="s">
        <v>33</v>
      </c>
      <c r="B944" t="s">
        <v>34</v>
      </c>
      <c r="C944">
        <v>12</v>
      </c>
      <c r="D944">
        <f t="shared" si="69"/>
        <v>12</v>
      </c>
      <c r="E944" t="str">
        <f t="shared" si="70"/>
        <v/>
      </c>
      <c r="F944" t="str">
        <f t="shared" si="72"/>
        <v>#JUGOGUAYABABIDA500ML(12)</v>
      </c>
      <c r="G944" t="s">
        <v>2377</v>
      </c>
      <c r="H944" s="2">
        <v>2.1702353871902392E-5</v>
      </c>
    </row>
    <row r="945" spans="1:8" x14ac:dyDescent="0.3">
      <c r="A945" t="s">
        <v>1275</v>
      </c>
      <c r="B945" t="s">
        <v>1276</v>
      </c>
      <c r="C945">
        <v>12</v>
      </c>
      <c r="D945">
        <f t="shared" si="69"/>
        <v>12</v>
      </c>
      <c r="E945" t="str">
        <f t="shared" si="70"/>
        <v/>
      </c>
      <c r="F945" t="str">
        <f t="shared" si="72"/>
        <v>#JUGOMANZANABIDA500ML(12)</v>
      </c>
      <c r="G945" t="s">
        <v>2998</v>
      </c>
      <c r="H945" s="2">
        <v>2.1702353871902392E-5</v>
      </c>
    </row>
    <row r="946" spans="1:8" x14ac:dyDescent="0.3">
      <c r="A946" t="s">
        <v>1700</v>
      </c>
      <c r="B946" t="s">
        <v>1701</v>
      </c>
      <c r="C946">
        <v>6</v>
      </c>
      <c r="D946">
        <f t="shared" si="69"/>
        <v>6</v>
      </c>
      <c r="E946" t="str">
        <f t="shared" si="70"/>
        <v/>
      </c>
      <c r="F946" t="str">
        <f t="shared" si="72"/>
        <v>PAPRIKAGOURMETLAND600GR(6)</v>
      </c>
      <c r="G946" t="s">
        <v>3210</v>
      </c>
      <c r="H946" s="2">
        <v>2.1530420261587682E-5</v>
      </c>
    </row>
    <row r="947" spans="1:8" x14ac:dyDescent="0.3">
      <c r="A947" t="s">
        <v>1119</v>
      </c>
      <c r="B947" t="s">
        <v>1120</v>
      </c>
      <c r="C947">
        <v>12</v>
      </c>
      <c r="D947">
        <f t="shared" si="69"/>
        <v>6</v>
      </c>
      <c r="E947" t="str">
        <f t="shared" si="70"/>
        <v/>
      </c>
      <c r="F947" t="str">
        <f t="shared" si="72"/>
        <v>NECTARDURAZNOJUMEX0AZUCAR960ML(6)</v>
      </c>
      <c r="G947" t="s">
        <v>2920</v>
      </c>
      <c r="H947" s="2">
        <v>2.1527127905171486E-5</v>
      </c>
    </row>
    <row r="948" spans="1:8" x14ac:dyDescent="0.3">
      <c r="A948" t="s">
        <v>2207</v>
      </c>
      <c r="B948" t="s">
        <v>2208</v>
      </c>
      <c r="C948">
        <v>24</v>
      </c>
      <c r="D948">
        <f t="shared" si="69"/>
        <v>24</v>
      </c>
      <c r="E948" t="str">
        <f t="shared" si="70"/>
        <v/>
      </c>
      <c r="F948" t="str">
        <f t="shared" si="72"/>
        <v>SALSABUFALOROJA150GR(24)</v>
      </c>
      <c r="G948" t="s">
        <v>3463</v>
      </c>
      <c r="H948" s="2">
        <v>2.1381780223374878E-5</v>
      </c>
    </row>
    <row r="949" spans="1:8" x14ac:dyDescent="0.3">
      <c r="A949" t="s">
        <v>563</v>
      </c>
      <c r="B949" t="s">
        <v>564</v>
      </c>
      <c r="C949">
        <v>1</v>
      </c>
      <c r="D949" t="str">
        <f t="shared" si="69"/>
        <v/>
      </c>
      <c r="E949" t="str">
        <f t="shared" si="70"/>
        <v/>
      </c>
      <c r="F949" t="str">
        <f t="shared" si="72"/>
        <v>PASTAFONTANELLAESTRELLAC/20/200G</v>
      </c>
      <c r="G949" t="s">
        <v>2642</v>
      </c>
      <c r="H949" s="2">
        <v>2.1222682527801825E-5</v>
      </c>
    </row>
    <row r="950" spans="1:8" x14ac:dyDescent="0.3">
      <c r="A950" t="s">
        <v>2313</v>
      </c>
      <c r="B950" t="s">
        <v>2314</v>
      </c>
      <c r="C950">
        <v>6</v>
      </c>
      <c r="D950">
        <f t="shared" si="69"/>
        <v>6</v>
      </c>
      <c r="E950" t="str">
        <f t="shared" si="70"/>
        <v/>
      </c>
      <c r="F950" t="str">
        <f t="shared" si="72"/>
        <v>PIMIENTACONLIMONPRAGNA393GR(6)</v>
      </c>
      <c r="G950" t="s">
        <v>3516</v>
      </c>
      <c r="H950" s="2">
        <v>2.1155849142582671E-5</v>
      </c>
    </row>
    <row r="951" spans="1:8" x14ac:dyDescent="0.3">
      <c r="A951" t="s">
        <v>305</v>
      </c>
      <c r="B951" t="s">
        <v>306</v>
      </c>
      <c r="C951">
        <v>12</v>
      </c>
      <c r="D951">
        <f t="shared" si="69"/>
        <v>12</v>
      </c>
      <c r="E951" t="str">
        <f t="shared" si="70"/>
        <v/>
      </c>
      <c r="F951" t="str">
        <f t="shared" si="72"/>
        <v>ZUKOPIÑACOLADAC/8/13G(12)</v>
      </c>
      <c r="G951" t="s">
        <v>2513</v>
      </c>
      <c r="H951" s="2">
        <v>2.1143353847929152E-5</v>
      </c>
    </row>
    <row r="952" spans="1:8" x14ac:dyDescent="0.3">
      <c r="A952" t="s">
        <v>803</v>
      </c>
      <c r="B952" t="s">
        <v>804</v>
      </c>
      <c r="C952">
        <v>40</v>
      </c>
      <c r="D952">
        <f t="shared" si="69"/>
        <v>40</v>
      </c>
      <c r="E952" t="str">
        <f t="shared" si="70"/>
        <v/>
      </c>
      <c r="F952" t="str">
        <f t="shared" si="72"/>
        <v>VASOTERMICO12OZ.DART12J12C/25(40)</v>
      </c>
      <c r="G952" t="s">
        <v>2762</v>
      </c>
      <c r="H952" s="2">
        <v>2.1133406935737863E-5</v>
      </c>
    </row>
    <row r="953" spans="1:8" x14ac:dyDescent="0.3">
      <c r="A953" t="s">
        <v>389</v>
      </c>
      <c r="B953" t="s">
        <v>390</v>
      </c>
      <c r="C953">
        <v>10</v>
      </c>
      <c r="D953">
        <f t="shared" si="69"/>
        <v>10</v>
      </c>
      <c r="E953" t="str">
        <f t="shared" si="70"/>
        <v/>
      </c>
      <c r="F953" t="str">
        <f t="shared" si="72"/>
        <v>-CEBOLLAENPOLVOPRAGNA100GR(10)</v>
      </c>
      <c r="G953" t="s">
        <v>2555</v>
      </c>
      <c r="H953" s="2">
        <v>2.0974174134791367E-5</v>
      </c>
    </row>
    <row r="954" spans="1:8" x14ac:dyDescent="0.3">
      <c r="A954" t="s">
        <v>1771</v>
      </c>
      <c r="B954" t="s">
        <v>1772</v>
      </c>
      <c r="C954">
        <v>6</v>
      </c>
      <c r="D954">
        <f t="shared" si="69"/>
        <v>6</v>
      </c>
      <c r="E954" t="str">
        <f t="shared" si="70"/>
        <v/>
      </c>
      <c r="F954" t="str">
        <f t="shared" si="72"/>
        <v>AJOENPOLVOMC595G(6)</v>
      </c>
      <c r="G954" t="s">
        <v>3245</v>
      </c>
      <c r="H954" s="2">
        <v>2.0939581589042907E-5</v>
      </c>
    </row>
    <row r="955" spans="1:8" x14ac:dyDescent="0.3">
      <c r="A955" t="s">
        <v>775</v>
      </c>
      <c r="B955" t="s">
        <v>776</v>
      </c>
      <c r="D955">
        <f t="shared" si="69"/>
        <v>40</v>
      </c>
      <c r="E955">
        <f t="shared" si="70"/>
        <v>25</v>
      </c>
      <c r="F955" t="str">
        <f t="shared" si="72"/>
        <v>CUCHARAFANTASYMEDC/25PZA(40)</v>
      </c>
      <c r="G955" t="s">
        <v>2748</v>
      </c>
      <c r="H955" s="2">
        <v>2.0749587654571527E-5</v>
      </c>
    </row>
    <row r="956" spans="1:8" x14ac:dyDescent="0.3">
      <c r="A956" t="s">
        <v>833</v>
      </c>
      <c r="B956" t="s">
        <v>834</v>
      </c>
      <c r="C956">
        <v>10</v>
      </c>
      <c r="D956">
        <f t="shared" si="69"/>
        <v>10</v>
      </c>
      <c r="E956" t="str">
        <f t="shared" si="70"/>
        <v/>
      </c>
      <c r="F956" t="str">
        <f t="shared" si="72"/>
        <v>DETERGENTEBLANCANIEVES1KG(10)</v>
      </c>
      <c r="G956" t="s">
        <v>2777</v>
      </c>
      <c r="H956" s="2">
        <v>2.068623599179463E-5</v>
      </c>
    </row>
    <row r="957" spans="1:8" x14ac:dyDescent="0.3">
      <c r="A957" t="s">
        <v>1346</v>
      </c>
      <c r="B957" t="s">
        <v>1347</v>
      </c>
      <c r="C957">
        <v>24</v>
      </c>
      <c r="D957">
        <f t="shared" si="69"/>
        <v>24</v>
      </c>
      <c r="E957" t="str">
        <f t="shared" si="70"/>
        <v/>
      </c>
      <c r="F957" t="str">
        <f t="shared" si="72"/>
        <v>-ACIDOMURIATEXALAMO420ML.(24)</v>
      </c>
      <c r="G957" t="s">
        <v>3033</v>
      </c>
      <c r="H957" s="2">
        <v>2.0481596466607885E-5</v>
      </c>
    </row>
    <row r="958" spans="1:8" x14ac:dyDescent="0.3">
      <c r="A958" t="s">
        <v>653</v>
      </c>
      <c r="B958" t="s">
        <v>654</v>
      </c>
      <c r="C958">
        <v>12</v>
      </c>
      <c r="D958">
        <f t="shared" si="69"/>
        <v>12</v>
      </c>
      <c r="E958" t="str">
        <f t="shared" si="70"/>
        <v/>
      </c>
      <c r="F958" t="str">
        <f t="shared" si="72"/>
        <v>SALSASANLUIS1LTO(12)</v>
      </c>
      <c r="G958" t="s">
        <v>2687</v>
      </c>
      <c r="H958" s="2">
        <v>2.0457361948467462E-5</v>
      </c>
    </row>
    <row r="959" spans="1:8" x14ac:dyDescent="0.3">
      <c r="A959" t="s">
        <v>937</v>
      </c>
      <c r="B959" t="s">
        <v>938</v>
      </c>
      <c r="C959">
        <v>72</v>
      </c>
      <c r="D959">
        <f t="shared" si="69"/>
        <v>72</v>
      </c>
      <c r="E959" t="str">
        <f t="shared" si="70"/>
        <v/>
      </c>
      <c r="F959" t="str">
        <f t="shared" si="72"/>
        <v>JABONZESTAQUA135GR(72)</v>
      </c>
      <c r="G959" t="s">
        <v>2829</v>
      </c>
      <c r="H959" s="2">
        <v>2.038409879391925E-5</v>
      </c>
    </row>
    <row r="960" spans="1:8" x14ac:dyDescent="0.3">
      <c r="A960" t="s">
        <v>1696</v>
      </c>
      <c r="B960" t="s">
        <v>1697</v>
      </c>
      <c r="C960">
        <v>6</v>
      </c>
      <c r="D960">
        <f t="shared" si="69"/>
        <v>6</v>
      </c>
      <c r="E960" t="str">
        <f t="shared" si="70"/>
        <v/>
      </c>
      <c r="F960" t="str">
        <f t="shared" si="72"/>
        <v>AJOGRANULADOGOURMETLAND650G(6)</v>
      </c>
      <c r="G960" t="s">
        <v>3208</v>
      </c>
      <c r="H960" s="2">
        <v>2.0381716315265604E-5</v>
      </c>
    </row>
    <row r="961" spans="1:8" x14ac:dyDescent="0.3">
      <c r="A961" t="s">
        <v>2195</v>
      </c>
      <c r="B961" t="s">
        <v>2196</v>
      </c>
      <c r="C961">
        <v>1</v>
      </c>
      <c r="D961" t="str">
        <f t="shared" si="69"/>
        <v/>
      </c>
      <c r="E961" t="str">
        <f t="shared" si="70"/>
        <v/>
      </c>
      <c r="F961" t="str">
        <f t="shared" si="72"/>
        <v>PAPELHIGIENICOJUMBOMARLIC/6/360MTS</v>
      </c>
      <c r="G961" t="s">
        <v>3457</v>
      </c>
      <c r="H961" s="2">
        <v>2.0328282489444633E-5</v>
      </c>
    </row>
    <row r="962" spans="1:8" x14ac:dyDescent="0.3">
      <c r="A962" t="s">
        <v>51</v>
      </c>
      <c r="B962" t="s">
        <v>52</v>
      </c>
      <c r="C962">
        <v>12</v>
      </c>
      <c r="D962">
        <f t="shared" ref="D962:D1025" si="73">IFERROR(VALUE(IFERROR(
    MID(G962,FIND("(",G962)+1,FIND(")",G962)-FIND("(",G962)-1),
    IFERROR(
        MID(G962,FIND("(",G962)+1,LEN(G962)-FIND("(",G962)),
        ""
    )
)),"")</f>
        <v>12</v>
      </c>
      <c r="E962" t="str">
        <f t="shared" ref="E962:E1025" si="74">IFERROR(VALUE(MID(SUBSTITUTE(G962," ",""),
FIND("/",SUBSTITUTE(G962," ",""))+1,
MIN(IFERROR(FIND("PZS",SUBSTITUTE(G962," ","")),999),
    IFERROR(FIND("PZA",SUBSTITUTE(G962," ","")),999))
-FIND("/",SUBSTITUTE(G962," ",""))-1)),"")</f>
        <v/>
      </c>
      <c r="F962" t="str">
        <f t="shared" si="72"/>
        <v>TESNAPPLEFRAMBUESA475ML(12)</v>
      </c>
      <c r="G962" t="s">
        <v>2386</v>
      </c>
      <c r="H962" s="2">
        <v>2.0274860157938348E-5</v>
      </c>
    </row>
    <row r="963" spans="1:8" x14ac:dyDescent="0.3">
      <c r="A963" t="s">
        <v>851</v>
      </c>
      <c r="B963" t="s">
        <v>852</v>
      </c>
      <c r="C963">
        <v>12</v>
      </c>
      <c r="D963">
        <f t="shared" si="73"/>
        <v>12</v>
      </c>
      <c r="E963" t="str">
        <f t="shared" si="74"/>
        <v/>
      </c>
      <c r="F963" t="str">
        <f>SUBSTITUTE(UPPER(CLEAN(G963))," ","")</f>
        <v>-INSEC.BAYGONVERDEAEROSOL400ML(12)</v>
      </c>
      <c r="G963" t="s">
        <v>2786</v>
      </c>
      <c r="H963" s="2">
        <v>2.0254214986268181E-5</v>
      </c>
    </row>
    <row r="964" spans="1:8" x14ac:dyDescent="0.3">
      <c r="A964" t="s">
        <v>577</v>
      </c>
      <c r="B964" t="s">
        <v>578</v>
      </c>
      <c r="C964">
        <v>20</v>
      </c>
      <c r="D964">
        <f t="shared" si="73"/>
        <v>20</v>
      </c>
      <c r="E964" t="str">
        <f t="shared" si="74"/>
        <v/>
      </c>
      <c r="F964" t="str">
        <f t="shared" ref="F964:F972" si="75">SUBSTITUTE(UPPER(CLEAN(B964))," ","")</f>
        <v>PASTAFIORDIP.CONCHA200GR(20)</v>
      </c>
      <c r="G964" t="s">
        <v>2649</v>
      </c>
      <c r="H964" s="2">
        <v>2.013255027516812E-5</v>
      </c>
    </row>
    <row r="965" spans="1:8" x14ac:dyDescent="0.3">
      <c r="A965" t="s">
        <v>1576</v>
      </c>
      <c r="B965" t="s">
        <v>1577</v>
      </c>
      <c r="C965">
        <v>24</v>
      </c>
      <c r="D965">
        <f t="shared" si="73"/>
        <v>24</v>
      </c>
      <c r="E965" t="str">
        <f t="shared" si="74"/>
        <v/>
      </c>
      <c r="F965" t="str">
        <f t="shared" si="75"/>
        <v>MIELKAROMAPLE255ML(24)*</v>
      </c>
      <c r="G965" t="s">
        <v>3148</v>
      </c>
      <c r="H965" s="2">
        <v>1.9963469446791711E-5</v>
      </c>
    </row>
    <row r="966" spans="1:8" x14ac:dyDescent="0.3">
      <c r="A966" t="s">
        <v>589</v>
      </c>
      <c r="B966" t="s">
        <v>590</v>
      </c>
      <c r="C966">
        <v>20</v>
      </c>
      <c r="D966">
        <f t="shared" si="73"/>
        <v>20</v>
      </c>
      <c r="E966" t="str">
        <f t="shared" si="74"/>
        <v/>
      </c>
      <c r="F966" t="str">
        <f t="shared" si="75"/>
        <v>PASTAFONTANELLAALFABETOS200GR(20)</v>
      </c>
      <c r="G966" t="s">
        <v>2655</v>
      </c>
      <c r="H966" s="2">
        <v>1.9926049089841535E-5</v>
      </c>
    </row>
    <row r="967" spans="1:8" x14ac:dyDescent="0.3">
      <c r="A967" t="s">
        <v>1757</v>
      </c>
      <c r="B967" t="s">
        <v>1758</v>
      </c>
      <c r="C967">
        <v>12</v>
      </c>
      <c r="D967">
        <f t="shared" si="73"/>
        <v>12</v>
      </c>
      <c r="E967" t="str">
        <f t="shared" si="74"/>
        <v/>
      </c>
      <c r="F967" t="str">
        <f t="shared" si="75"/>
        <v>FRIJOLESNEGROSENTEROSCOSTEÑA560G(12</v>
      </c>
      <c r="G967" t="s">
        <v>3238</v>
      </c>
      <c r="H967" s="2">
        <v>1.9920289535851883E-5</v>
      </c>
    </row>
    <row r="968" spans="1:8" x14ac:dyDescent="0.3">
      <c r="A968" t="s">
        <v>9</v>
      </c>
      <c r="B968" t="s">
        <v>10</v>
      </c>
      <c r="C968">
        <v>21</v>
      </c>
      <c r="D968">
        <f t="shared" si="73"/>
        <v>21</v>
      </c>
      <c r="E968" t="str">
        <f t="shared" si="74"/>
        <v/>
      </c>
      <c r="F968" t="str">
        <f t="shared" si="75"/>
        <v>#CEREALZUCARITASKELLOGG'S380GR(21)</v>
      </c>
      <c r="G968" t="s">
        <v>2365</v>
      </c>
      <c r="H968" s="2">
        <v>1.9900811882876858E-5</v>
      </c>
    </row>
    <row r="969" spans="1:8" x14ac:dyDescent="0.3">
      <c r="A969" t="s">
        <v>2043</v>
      </c>
      <c r="B969" t="s">
        <v>2044</v>
      </c>
      <c r="C969">
        <v>12</v>
      </c>
      <c r="D969">
        <f t="shared" si="73"/>
        <v>12</v>
      </c>
      <c r="E969" t="str">
        <f t="shared" si="74"/>
        <v/>
      </c>
      <c r="F969" t="str">
        <f t="shared" si="75"/>
        <v>ADEREZOITALIANOCLEMENTE237ML(12)</v>
      </c>
      <c r="G969" t="s">
        <v>3381</v>
      </c>
      <c r="H969" s="2">
        <v>1.9872738572849379E-5</v>
      </c>
    </row>
    <row r="970" spans="1:8" x14ac:dyDescent="0.3">
      <c r="A970" t="s">
        <v>2145</v>
      </c>
      <c r="B970" t="s">
        <v>2146</v>
      </c>
      <c r="C970">
        <v>48</v>
      </c>
      <c r="D970">
        <f t="shared" si="73"/>
        <v>48</v>
      </c>
      <c r="E970" t="str">
        <f t="shared" si="74"/>
        <v/>
      </c>
      <c r="F970" t="str">
        <f t="shared" si="75"/>
        <v>ATUNHOJUELAAGUAS/SOYATUNY130G(48)</v>
      </c>
      <c r="G970" t="s">
        <v>3432</v>
      </c>
      <c r="H970" s="2">
        <v>1.9821963775982444E-5</v>
      </c>
    </row>
    <row r="971" spans="1:8" x14ac:dyDescent="0.3">
      <c r="A971" t="s">
        <v>55</v>
      </c>
      <c r="B971" t="s">
        <v>56</v>
      </c>
      <c r="C971">
        <v>12</v>
      </c>
      <c r="D971">
        <f t="shared" si="73"/>
        <v>12</v>
      </c>
      <c r="E971" t="str">
        <f t="shared" si="74"/>
        <v/>
      </c>
      <c r="F971" t="str">
        <f t="shared" si="75"/>
        <v>TESNAPPLEDURAZNO475ML(12)</v>
      </c>
      <c r="G971" t="s">
        <v>2388</v>
      </c>
      <c r="H971" s="2">
        <v>1.9515365663461196E-5</v>
      </c>
    </row>
    <row r="972" spans="1:8" x14ac:dyDescent="0.3">
      <c r="A972" t="s">
        <v>2101</v>
      </c>
      <c r="B972" t="s">
        <v>2102</v>
      </c>
      <c r="C972">
        <v>24</v>
      </c>
      <c r="D972">
        <f t="shared" si="73"/>
        <v>24</v>
      </c>
      <c r="E972" t="str">
        <f t="shared" si="74"/>
        <v/>
      </c>
      <c r="F972" t="str">
        <f t="shared" si="75"/>
        <v>PASTAYEMINAALFABETOS200GR(24)</v>
      </c>
      <c r="G972" t="s">
        <v>3410</v>
      </c>
      <c r="H972" s="2">
        <v>1.9211885456272776E-5</v>
      </c>
    </row>
    <row r="973" spans="1:8" x14ac:dyDescent="0.3">
      <c r="A973" t="s">
        <v>881</v>
      </c>
      <c r="B973" t="s">
        <v>882</v>
      </c>
      <c r="C973">
        <v>25</v>
      </c>
      <c r="D973">
        <f t="shared" si="73"/>
        <v>25</v>
      </c>
      <c r="E973" t="str">
        <f t="shared" si="74"/>
        <v/>
      </c>
      <c r="F973" t="str">
        <f>SUBSTITUTE(UPPER(CLEAN(G973))," ","")</f>
        <v>BOLSAPLASTICO50X70C/1KG(25)</v>
      </c>
      <c r="G973" t="s">
        <v>2801</v>
      </c>
      <c r="H973" s="2">
        <v>1.8628100357707193E-5</v>
      </c>
    </row>
    <row r="974" spans="1:8" x14ac:dyDescent="0.3">
      <c r="A974" t="s">
        <v>1195</v>
      </c>
      <c r="B974" t="s">
        <v>1196</v>
      </c>
      <c r="C974">
        <v>50</v>
      </c>
      <c r="D974">
        <f t="shared" si="73"/>
        <v>50</v>
      </c>
      <c r="E974" t="str">
        <f t="shared" si="74"/>
        <v/>
      </c>
      <c r="F974" t="str">
        <f t="shared" ref="F974:F980" si="76">SUBSTITUTE(UPPER(CLEAN(B974))," ","")</f>
        <v>PASTILLASANITARIAFLASHB.MARINA72G(50</v>
      </c>
      <c r="G974" t="s">
        <v>2958</v>
      </c>
      <c r="H974" s="2">
        <v>1.8533316971289375E-5</v>
      </c>
    </row>
    <row r="975" spans="1:8" x14ac:dyDescent="0.3">
      <c r="A975" t="s">
        <v>219</v>
      </c>
      <c r="B975" t="s">
        <v>220</v>
      </c>
      <c r="C975">
        <v>4</v>
      </c>
      <c r="D975">
        <f t="shared" si="73"/>
        <v>4</v>
      </c>
      <c r="E975" t="str">
        <f t="shared" si="74"/>
        <v/>
      </c>
      <c r="F975" t="str">
        <f t="shared" si="76"/>
        <v>CONCENTRADOMANGOF-DIAZ5L(4)</v>
      </c>
      <c r="G975" t="s">
        <v>2470</v>
      </c>
      <c r="H975" s="2">
        <v>1.847116932156529E-5</v>
      </c>
    </row>
    <row r="976" spans="1:8" x14ac:dyDescent="0.3">
      <c r="A976" t="s">
        <v>215</v>
      </c>
      <c r="B976" t="s">
        <v>216</v>
      </c>
      <c r="C976">
        <v>4</v>
      </c>
      <c r="D976">
        <f t="shared" si="73"/>
        <v>4</v>
      </c>
      <c r="E976" t="str">
        <f t="shared" si="74"/>
        <v/>
      </c>
      <c r="F976" t="str">
        <f t="shared" si="76"/>
        <v>CONCENTRADOHORCHATAF-DIAZ5L(4)</v>
      </c>
      <c r="G976" t="s">
        <v>2468</v>
      </c>
      <c r="H976" s="2">
        <v>1.839521108301363E-5</v>
      </c>
    </row>
    <row r="977" spans="1:8" x14ac:dyDescent="0.3">
      <c r="A977" t="s">
        <v>255</v>
      </c>
      <c r="B977" t="s">
        <v>256</v>
      </c>
      <c r="C977">
        <v>12</v>
      </c>
      <c r="D977">
        <f t="shared" si="73"/>
        <v>12</v>
      </c>
      <c r="E977" t="str">
        <f t="shared" si="74"/>
        <v/>
      </c>
      <c r="F977" t="str">
        <f t="shared" si="76"/>
        <v>TANGFRESAC/8/13G(12)</v>
      </c>
      <c r="G977" t="s">
        <v>2488</v>
      </c>
      <c r="H977" s="2">
        <v>1.8171446661652576E-5</v>
      </c>
    </row>
    <row r="978" spans="1:8" x14ac:dyDescent="0.3">
      <c r="A978" t="s">
        <v>1496</v>
      </c>
      <c r="B978" t="s">
        <v>1497</v>
      </c>
      <c r="C978">
        <v>3</v>
      </c>
      <c r="D978">
        <f t="shared" si="73"/>
        <v>3</v>
      </c>
      <c r="E978" t="str">
        <f t="shared" si="74"/>
        <v/>
      </c>
      <c r="F978" t="str">
        <f t="shared" si="76"/>
        <v>ACEITEOLIVAPUROCARBONELL5L(3)PET</v>
      </c>
      <c r="G978" t="s">
        <v>3108</v>
      </c>
      <c r="H978" s="2">
        <v>1.7867038266244794E-5</v>
      </c>
    </row>
    <row r="979" spans="1:8" x14ac:dyDescent="0.3">
      <c r="A979" t="s">
        <v>2001</v>
      </c>
      <c r="B979" t="s">
        <v>2002</v>
      </c>
      <c r="C979">
        <v>24</v>
      </c>
      <c r="D979">
        <f t="shared" si="73"/>
        <v>24</v>
      </c>
      <c r="E979" t="str">
        <f t="shared" si="74"/>
        <v/>
      </c>
      <c r="F979" t="str">
        <f t="shared" si="76"/>
        <v>-MAYONESAHELLMAN´S105G(24)PET</v>
      </c>
      <c r="G979" t="s">
        <v>3360</v>
      </c>
      <c r="H979" s="2">
        <v>1.7839663706247279E-5</v>
      </c>
    </row>
    <row r="980" spans="1:8" x14ac:dyDescent="0.3">
      <c r="A980" t="s">
        <v>1610</v>
      </c>
      <c r="B980" t="s">
        <v>1611</v>
      </c>
      <c r="C980">
        <v>6</v>
      </c>
      <c r="D980">
        <f t="shared" si="73"/>
        <v>6</v>
      </c>
      <c r="E980" t="str">
        <f t="shared" si="74"/>
        <v/>
      </c>
      <c r="F980" t="str">
        <f t="shared" si="76"/>
        <v>VINAGREVINOBLANCOCARBONELL250ML(6)</v>
      </c>
      <c r="G980" t="s">
        <v>3165</v>
      </c>
      <c r="H980" s="2">
        <v>1.7834483216765405E-5</v>
      </c>
    </row>
    <row r="981" spans="1:8" x14ac:dyDescent="0.3">
      <c r="A981" t="s">
        <v>845</v>
      </c>
      <c r="B981" t="s">
        <v>846</v>
      </c>
      <c r="C981">
        <v>1</v>
      </c>
      <c r="D981" t="str">
        <f t="shared" si="73"/>
        <v/>
      </c>
      <c r="E981" t="str">
        <f t="shared" si="74"/>
        <v/>
      </c>
      <c r="F981" t="str">
        <f>SUBSTITUTE(UPPER(CLEAN(G981))," ","")</f>
        <v>LAVATRASTESLIMONVARSSETGALON4LTS</v>
      </c>
      <c r="G981" t="s">
        <v>2783</v>
      </c>
      <c r="H981" s="2">
        <v>1.78094941461299E-5</v>
      </c>
    </row>
    <row r="982" spans="1:8" x14ac:dyDescent="0.3">
      <c r="A982" t="s">
        <v>2273</v>
      </c>
      <c r="B982" t="s">
        <v>2274</v>
      </c>
      <c r="C982">
        <v>48</v>
      </c>
      <c r="D982">
        <f t="shared" si="73"/>
        <v>48</v>
      </c>
      <c r="E982" t="str">
        <f t="shared" si="74"/>
        <v/>
      </c>
      <c r="F982" t="str">
        <f t="shared" ref="F982:F996" si="77">SUBSTITUTE(UPPER(CLEAN(B982))," ","")</f>
        <v>-AJAXBICLOROGRANDE388GR(48)</v>
      </c>
      <c r="G982" t="s">
        <v>3496</v>
      </c>
      <c r="H982" s="2">
        <v>1.7725890760191553E-5</v>
      </c>
    </row>
    <row r="983" spans="1:8" x14ac:dyDescent="0.3">
      <c r="A983" t="s">
        <v>1737</v>
      </c>
      <c r="B983" t="s">
        <v>1738</v>
      </c>
      <c r="C983">
        <v>24</v>
      </c>
      <c r="D983">
        <f t="shared" si="73"/>
        <v>24</v>
      </c>
      <c r="E983" t="str">
        <f t="shared" si="74"/>
        <v/>
      </c>
      <c r="F983" t="str">
        <f t="shared" si="77"/>
        <v>-MAYONESACONLIMONMC190G(24)</v>
      </c>
      <c r="G983" t="s">
        <v>3228</v>
      </c>
      <c r="H983" s="2">
        <v>1.7522621332760256E-5</v>
      </c>
    </row>
    <row r="984" spans="1:8" x14ac:dyDescent="0.3">
      <c r="A984" t="s">
        <v>565</v>
      </c>
      <c r="B984" t="s">
        <v>566</v>
      </c>
      <c r="C984">
        <v>20</v>
      </c>
      <c r="D984">
        <f t="shared" si="73"/>
        <v>20</v>
      </c>
      <c r="E984" t="str">
        <f t="shared" si="74"/>
        <v/>
      </c>
      <c r="F984" t="str">
        <f t="shared" si="77"/>
        <v>PASTALAMODERNAFIDEONO.2200GR(20)</v>
      </c>
      <c r="G984" t="s">
        <v>2643</v>
      </c>
      <c r="H984" s="2">
        <v>1.7448651410066584E-5</v>
      </c>
    </row>
    <row r="985" spans="1:8" x14ac:dyDescent="0.3">
      <c r="A985" t="s">
        <v>1712</v>
      </c>
      <c r="B985" t="s">
        <v>1713</v>
      </c>
      <c r="C985">
        <v>48</v>
      </c>
      <c r="D985">
        <f t="shared" si="73"/>
        <v>48</v>
      </c>
      <c r="E985" t="str">
        <f t="shared" si="74"/>
        <v/>
      </c>
      <c r="F985" t="str">
        <f t="shared" si="77"/>
        <v>ATUNENACEITEANCLA120G(48)</v>
      </c>
      <c r="G985" t="s">
        <v>3216</v>
      </c>
      <c r="H985" s="2">
        <v>1.7420002658837959E-5</v>
      </c>
    </row>
    <row r="986" spans="1:8" x14ac:dyDescent="0.3">
      <c r="A986" t="s">
        <v>57</v>
      </c>
      <c r="B986" t="s">
        <v>58</v>
      </c>
      <c r="C986">
        <v>1</v>
      </c>
      <c r="D986" t="str">
        <f t="shared" si="73"/>
        <v/>
      </c>
      <c r="E986">
        <f t="shared" si="74"/>
        <v>2000</v>
      </c>
      <c r="F986" t="str">
        <f t="shared" si="77"/>
        <v>POPOTEESTUCHADOBIOC/2000</v>
      </c>
      <c r="G986" t="s">
        <v>2389</v>
      </c>
      <c r="H986" s="2">
        <v>1.7347497067493193E-5</v>
      </c>
    </row>
    <row r="987" spans="1:8" x14ac:dyDescent="0.3">
      <c r="A987" t="s">
        <v>1698</v>
      </c>
      <c r="B987" t="s">
        <v>1699</v>
      </c>
      <c r="C987">
        <v>6</v>
      </c>
      <c r="D987">
        <f t="shared" si="73"/>
        <v>6</v>
      </c>
      <c r="E987" t="str">
        <f t="shared" si="74"/>
        <v/>
      </c>
      <c r="F987" t="str">
        <f t="shared" si="77"/>
        <v>-CANELAMOLIDAGOURMETLAND600GR(6)</v>
      </c>
      <c r="G987" t="s">
        <v>3209</v>
      </c>
      <c r="H987" s="2">
        <v>1.7298337947737898E-5</v>
      </c>
    </row>
    <row r="988" spans="1:8" x14ac:dyDescent="0.3">
      <c r="A988" t="s">
        <v>1702</v>
      </c>
      <c r="B988" t="s">
        <v>1703</v>
      </c>
      <c r="C988">
        <v>6</v>
      </c>
      <c r="D988">
        <f t="shared" si="73"/>
        <v>6</v>
      </c>
      <c r="E988" t="str">
        <f t="shared" si="74"/>
        <v/>
      </c>
      <c r="F988" t="str">
        <f t="shared" si="77"/>
        <v>-PIMIENTAC/LIMONGOURMETLAND900GR(6)</v>
      </c>
      <c r="G988" t="s">
        <v>3211</v>
      </c>
      <c r="H988" s="2">
        <v>1.7189127428348419E-5</v>
      </c>
    </row>
    <row r="989" spans="1:8" x14ac:dyDescent="0.3">
      <c r="A989" t="s">
        <v>53</v>
      </c>
      <c r="B989" t="s">
        <v>54</v>
      </c>
      <c r="C989">
        <v>12</v>
      </c>
      <c r="D989">
        <f t="shared" si="73"/>
        <v>12</v>
      </c>
      <c r="E989" t="str">
        <f t="shared" si="74"/>
        <v/>
      </c>
      <c r="F989" t="str">
        <f t="shared" si="77"/>
        <v>TESNAPPLELIMON473ML(12)</v>
      </c>
      <c r="G989" t="s">
        <v>2387</v>
      </c>
      <c r="H989" s="2">
        <v>1.717998063615571E-5</v>
      </c>
    </row>
    <row r="990" spans="1:8" x14ac:dyDescent="0.3">
      <c r="A990" t="s">
        <v>1654</v>
      </c>
      <c r="B990" t="s">
        <v>1655</v>
      </c>
      <c r="C990">
        <v>12</v>
      </c>
      <c r="D990">
        <f t="shared" si="73"/>
        <v>12</v>
      </c>
      <c r="E990" t="str">
        <f t="shared" si="74"/>
        <v/>
      </c>
      <c r="F990" t="str">
        <f t="shared" si="77"/>
        <v>#MERMELADAFRESAMC450G(12)</v>
      </c>
      <c r="G990" t="s">
        <v>3187</v>
      </c>
      <c r="H990" s="2">
        <v>1.716458897141371E-5</v>
      </c>
    </row>
    <row r="991" spans="1:8" x14ac:dyDescent="0.3">
      <c r="A991" t="s">
        <v>461</v>
      </c>
      <c r="B991" t="s">
        <v>462</v>
      </c>
      <c r="C991">
        <v>10</v>
      </c>
      <c r="D991">
        <f t="shared" si="73"/>
        <v>10</v>
      </c>
      <c r="E991" t="str">
        <f t="shared" si="74"/>
        <v/>
      </c>
      <c r="F991" t="str">
        <f t="shared" si="77"/>
        <v>HARINAANTOJITOSMASECA1K(10)</v>
      </c>
      <c r="G991" t="s">
        <v>2591</v>
      </c>
      <c r="H991" s="2">
        <v>1.7078149482412557E-5</v>
      </c>
    </row>
    <row r="992" spans="1:8" x14ac:dyDescent="0.3">
      <c r="A992" t="s">
        <v>2139</v>
      </c>
      <c r="B992" t="s">
        <v>2140</v>
      </c>
      <c r="C992">
        <v>12</v>
      </c>
      <c r="D992">
        <f t="shared" si="73"/>
        <v>12</v>
      </c>
      <c r="E992" t="str">
        <f t="shared" si="74"/>
        <v/>
      </c>
      <c r="F992" t="str">
        <f t="shared" si="77"/>
        <v>CAFESOLUBLEINTERNACIONAL100GR(12)</v>
      </c>
      <c r="G992" t="s">
        <v>3429</v>
      </c>
      <c r="H992" s="2">
        <v>1.6919081093237816E-5</v>
      </c>
    </row>
    <row r="993" spans="1:8" x14ac:dyDescent="0.3">
      <c r="A993" t="s">
        <v>1662</v>
      </c>
      <c r="B993" t="s">
        <v>1663</v>
      </c>
      <c r="C993">
        <v>12</v>
      </c>
      <c r="D993">
        <f t="shared" si="73"/>
        <v>12</v>
      </c>
      <c r="E993" t="str">
        <f t="shared" si="74"/>
        <v/>
      </c>
      <c r="F993" t="str">
        <f t="shared" si="77"/>
        <v>CHILEJALAPEÑOCOSTEÑA780G(12)</v>
      </c>
      <c r="G993" t="s">
        <v>3191</v>
      </c>
      <c r="H993" s="2">
        <v>1.6701494401658978E-5</v>
      </c>
    </row>
    <row r="994" spans="1:8" x14ac:dyDescent="0.3">
      <c r="A994" t="s">
        <v>2027</v>
      </c>
      <c r="B994" t="s">
        <v>2028</v>
      </c>
      <c r="C994">
        <v>12</v>
      </c>
      <c r="D994">
        <f t="shared" si="73"/>
        <v>12</v>
      </c>
      <c r="E994" t="str">
        <f t="shared" si="74"/>
        <v/>
      </c>
      <c r="F994" t="str">
        <f t="shared" si="77"/>
        <v>%ADEREZOQUESOHELLMAN'S1L(12)</v>
      </c>
      <c r="G994" t="s">
        <v>3373</v>
      </c>
      <c r="H994" s="2">
        <v>1.6564486004501257E-5</v>
      </c>
    </row>
    <row r="995" spans="1:8" x14ac:dyDescent="0.3">
      <c r="A995" t="s">
        <v>613</v>
      </c>
      <c r="B995" t="s">
        <v>614</v>
      </c>
      <c r="C995">
        <v>20</v>
      </c>
      <c r="D995">
        <f t="shared" si="73"/>
        <v>20</v>
      </c>
      <c r="E995" t="str">
        <f t="shared" si="74"/>
        <v/>
      </c>
      <c r="F995" t="str">
        <f t="shared" si="77"/>
        <v>PASTAFIORDIP.ESTRELA200GR(20)</v>
      </c>
      <c r="G995" t="s">
        <v>2667</v>
      </c>
      <c r="H995" s="2">
        <v>1.6562513063240176E-5</v>
      </c>
    </row>
    <row r="996" spans="1:8" x14ac:dyDescent="0.3">
      <c r="A996" t="s">
        <v>975</v>
      </c>
      <c r="B996" t="s">
        <v>976</v>
      </c>
      <c r="C996">
        <v>12</v>
      </c>
      <c r="D996">
        <f t="shared" si="73"/>
        <v>12</v>
      </c>
      <c r="E996" t="str">
        <f t="shared" si="74"/>
        <v/>
      </c>
      <c r="F996" t="str">
        <f t="shared" si="77"/>
        <v>ACEITEMANTEQUILLAPAMSPRAY141G(12)</v>
      </c>
      <c r="G996" t="s">
        <v>2848</v>
      </c>
      <c r="H996" s="2">
        <v>1.6511422105166739E-5</v>
      </c>
    </row>
    <row r="997" spans="1:8" x14ac:dyDescent="0.3">
      <c r="A997" t="s">
        <v>847</v>
      </c>
      <c r="B997" t="s">
        <v>848</v>
      </c>
      <c r="C997">
        <v>25</v>
      </c>
      <c r="D997">
        <f t="shared" si="73"/>
        <v>25</v>
      </c>
      <c r="E997" t="str">
        <f t="shared" si="74"/>
        <v/>
      </c>
      <c r="F997" t="str">
        <f>SUBSTITUTE(UPPER(CLEAN(G997))," ","")</f>
        <v>ENCENDEDORTOKAIPZA.(25)</v>
      </c>
      <c r="G997" t="s">
        <v>2784</v>
      </c>
      <c r="H997" s="2">
        <v>1.6436039307816232E-5</v>
      </c>
    </row>
    <row r="998" spans="1:8" x14ac:dyDescent="0.3">
      <c r="A998" t="s">
        <v>1630</v>
      </c>
      <c r="B998" t="s">
        <v>1631</v>
      </c>
      <c r="C998">
        <v>12</v>
      </c>
      <c r="D998">
        <f t="shared" si="73"/>
        <v>12</v>
      </c>
      <c r="E998" t="str">
        <f t="shared" si="74"/>
        <v/>
      </c>
      <c r="F998" t="str">
        <f t="shared" ref="F998:F1011" si="78">SUBSTITUTE(UPPER(CLEAN(B998))," ","")</f>
        <v>PERASMITADCOSTEÑA820G(12)</v>
      </c>
      <c r="G998" t="s">
        <v>3175</v>
      </c>
      <c r="H998" s="2">
        <v>1.6329048347345467E-5</v>
      </c>
    </row>
    <row r="999" spans="1:8" x14ac:dyDescent="0.3">
      <c r="A999" t="s">
        <v>1486</v>
      </c>
      <c r="B999" t="s">
        <v>1487</v>
      </c>
      <c r="C999">
        <v>24</v>
      </c>
      <c r="D999">
        <f t="shared" si="73"/>
        <v>24</v>
      </c>
      <c r="E999" t="str">
        <f t="shared" si="74"/>
        <v/>
      </c>
      <c r="F999" t="str">
        <f t="shared" si="78"/>
        <v>SALSAROJADELPRIMO300GR(24)B9</v>
      </c>
      <c r="G999" t="s">
        <v>3103</v>
      </c>
      <c r="H999" s="2">
        <v>1.6273457501678829E-5</v>
      </c>
    </row>
    <row r="1000" spans="1:8" x14ac:dyDescent="0.3">
      <c r="A1000" t="s">
        <v>1201</v>
      </c>
      <c r="B1000" t="s">
        <v>1202</v>
      </c>
      <c r="C1000">
        <v>12</v>
      </c>
      <c r="D1000">
        <f t="shared" si="73"/>
        <v>12</v>
      </c>
      <c r="E1000" t="str">
        <f t="shared" si="74"/>
        <v/>
      </c>
      <c r="F1000" t="str">
        <f t="shared" si="78"/>
        <v>ABLANDADORDECARNEPRAGNA1320G(12)</v>
      </c>
      <c r="G1000" t="s">
        <v>2961</v>
      </c>
      <c r="H1000" s="2">
        <v>1.6224153636964607E-5</v>
      </c>
    </row>
    <row r="1001" spans="1:8" x14ac:dyDescent="0.3">
      <c r="A1001" t="s">
        <v>831</v>
      </c>
      <c r="B1001" t="s">
        <v>832</v>
      </c>
      <c r="C1001">
        <v>40</v>
      </c>
      <c r="D1001">
        <f t="shared" si="73"/>
        <v>40</v>
      </c>
      <c r="E1001" t="str">
        <f t="shared" si="74"/>
        <v/>
      </c>
      <c r="F1001" t="str">
        <f t="shared" si="78"/>
        <v>DETERGENTEBLANCANIEVES250GR(40)</v>
      </c>
      <c r="G1001" t="s">
        <v>2776</v>
      </c>
      <c r="H1001" s="2">
        <v>1.6041492158542762E-5</v>
      </c>
    </row>
    <row r="1002" spans="1:8" x14ac:dyDescent="0.3">
      <c r="A1002" t="s">
        <v>1438</v>
      </c>
      <c r="B1002" t="s">
        <v>1439</v>
      </c>
      <c r="C1002">
        <v>24</v>
      </c>
      <c r="D1002">
        <f t="shared" si="73"/>
        <v>24</v>
      </c>
      <c r="E1002" t="str">
        <f t="shared" si="74"/>
        <v/>
      </c>
      <c r="F1002" t="str">
        <f t="shared" si="78"/>
        <v>FRIJOLESCLAROSMOLIDOSSIERRA440G(24)</v>
      </c>
      <c r="G1002" t="s">
        <v>3079</v>
      </c>
      <c r="H1002" s="2">
        <v>1.6035558454261084E-5</v>
      </c>
    </row>
    <row r="1003" spans="1:8" x14ac:dyDescent="0.3">
      <c r="A1003" t="s">
        <v>753</v>
      </c>
      <c r="B1003" t="s">
        <v>754</v>
      </c>
      <c r="C1003">
        <v>6</v>
      </c>
      <c r="D1003">
        <f t="shared" si="73"/>
        <v>6</v>
      </c>
      <c r="E1003" t="str">
        <f t="shared" si="74"/>
        <v/>
      </c>
      <c r="F1003" t="str">
        <f t="shared" si="78"/>
        <v>HERSHEY'SSYRUPFRESA589ML(6)</v>
      </c>
      <c r="G1003" t="s">
        <v>2737</v>
      </c>
      <c r="H1003" s="2">
        <v>1.602073103329211E-5</v>
      </c>
    </row>
    <row r="1004" spans="1:8" x14ac:dyDescent="0.3">
      <c r="A1004" t="s">
        <v>2297</v>
      </c>
      <c r="B1004" t="s">
        <v>2298</v>
      </c>
      <c r="C1004">
        <v>6</v>
      </c>
      <c r="D1004">
        <f t="shared" si="73"/>
        <v>6</v>
      </c>
      <c r="E1004" t="str">
        <f t="shared" si="74"/>
        <v/>
      </c>
      <c r="F1004" t="str">
        <f t="shared" si="78"/>
        <v>-CATSUPMEGAALIMENTOS204/8GR(6)PORC</v>
      </c>
      <c r="G1004" t="s">
        <v>3508</v>
      </c>
      <c r="H1004" s="2">
        <v>1.5748592587157959E-5</v>
      </c>
    </row>
    <row r="1005" spans="1:8" x14ac:dyDescent="0.3">
      <c r="A1005" t="s">
        <v>1356</v>
      </c>
      <c r="B1005" t="s">
        <v>1357</v>
      </c>
      <c r="C1005">
        <v>12</v>
      </c>
      <c r="D1005" t="str">
        <f t="shared" si="73"/>
        <v/>
      </c>
      <c r="E1005" t="str">
        <f t="shared" si="74"/>
        <v/>
      </c>
      <c r="F1005" t="str">
        <f t="shared" si="78"/>
        <v>HARINAP/PASTELCHOC/REDVELVETBETTY375</v>
      </c>
      <c r="G1005" t="s">
        <v>3038</v>
      </c>
      <c r="H1005" s="2">
        <v>1.5635312876417498E-5</v>
      </c>
    </row>
    <row r="1006" spans="1:8" x14ac:dyDescent="0.3">
      <c r="A1006" t="s">
        <v>821</v>
      </c>
      <c r="B1006" t="s">
        <v>822</v>
      </c>
      <c r="C1006">
        <v>10</v>
      </c>
      <c r="D1006">
        <f t="shared" si="73"/>
        <v>10</v>
      </c>
      <c r="E1006" t="str">
        <f t="shared" si="74"/>
        <v/>
      </c>
      <c r="F1006" t="str">
        <f t="shared" si="78"/>
        <v>DETERGENTEFOCA1KG(10)</v>
      </c>
      <c r="G1006" t="s">
        <v>2771</v>
      </c>
      <c r="H1006" s="2">
        <v>1.5487399395855265E-5</v>
      </c>
    </row>
    <row r="1007" spans="1:8" x14ac:dyDescent="0.3">
      <c r="A1007" t="s">
        <v>1588</v>
      </c>
      <c r="B1007" t="s">
        <v>1589</v>
      </c>
      <c r="C1007">
        <v>20</v>
      </c>
      <c r="D1007">
        <f t="shared" si="73"/>
        <v>20</v>
      </c>
      <c r="E1007" t="str">
        <f t="shared" si="74"/>
        <v/>
      </c>
      <c r="F1007" t="str">
        <f t="shared" si="78"/>
        <v>PINOL500ML.MEDIANO(20)</v>
      </c>
      <c r="G1007" t="s">
        <v>3154</v>
      </c>
      <c r="H1007" s="2">
        <v>1.5255068089748429E-5</v>
      </c>
    </row>
    <row r="1008" spans="1:8" x14ac:dyDescent="0.3">
      <c r="A1008" t="s">
        <v>39</v>
      </c>
      <c r="B1008" t="s">
        <v>40</v>
      </c>
      <c r="C1008">
        <v>4</v>
      </c>
      <c r="D1008">
        <f t="shared" si="73"/>
        <v>20</v>
      </c>
      <c r="E1008" t="str">
        <f t="shared" si="74"/>
        <v/>
      </c>
      <c r="F1008" t="str">
        <f t="shared" si="78"/>
        <v>-MANTECAINCA100G(20)</v>
      </c>
      <c r="G1008" t="s">
        <v>2380</v>
      </c>
      <c r="H1008" s="2">
        <v>1.5244874652709951E-5</v>
      </c>
    </row>
    <row r="1009" spans="1:8" x14ac:dyDescent="0.3">
      <c r="A1009" t="s">
        <v>1143</v>
      </c>
      <c r="B1009" t="s">
        <v>1144</v>
      </c>
      <c r="C1009">
        <v>10</v>
      </c>
      <c r="D1009">
        <f t="shared" si="73"/>
        <v>10</v>
      </c>
      <c r="E1009" t="str">
        <f t="shared" si="74"/>
        <v/>
      </c>
      <c r="F1009" t="str">
        <f t="shared" si="78"/>
        <v>CEREALCORNFLAKESKELLOGG'S385GR(10)</v>
      </c>
      <c r="G1009" t="s">
        <v>2932</v>
      </c>
      <c r="H1009" s="2">
        <v>1.5076929396588343E-5</v>
      </c>
    </row>
    <row r="1010" spans="1:8" x14ac:dyDescent="0.3">
      <c r="A1010" t="s">
        <v>933</v>
      </c>
      <c r="B1010" t="s">
        <v>934</v>
      </c>
      <c r="C1010">
        <v>60</v>
      </c>
      <c r="D1010">
        <f t="shared" si="73"/>
        <v>60</v>
      </c>
      <c r="E1010" t="str">
        <f t="shared" si="74"/>
        <v/>
      </c>
      <c r="F1010" t="str">
        <f t="shared" si="78"/>
        <v>JABONROSAVENUS100GR(60)</v>
      </c>
      <c r="G1010" t="s">
        <v>2827</v>
      </c>
      <c r="H1010" s="2">
        <v>1.4759303488196363E-5</v>
      </c>
    </row>
    <row r="1011" spans="1:8" x14ac:dyDescent="0.3">
      <c r="A1011" t="s">
        <v>951</v>
      </c>
      <c r="B1011" t="s">
        <v>952</v>
      </c>
      <c r="D1011" t="str">
        <f t="shared" si="73"/>
        <v/>
      </c>
      <c r="E1011">
        <f t="shared" si="74"/>
        <v>20</v>
      </c>
      <c r="F1011" t="str">
        <f t="shared" si="78"/>
        <v>CIGARROSMARLBOROREDCAPS100C/20</v>
      </c>
      <c r="G1011" t="s">
        <v>2836</v>
      </c>
      <c r="H1011" s="2">
        <v>1.4746256220642406E-5</v>
      </c>
    </row>
    <row r="1012" spans="1:8" x14ac:dyDescent="0.3">
      <c r="A1012" t="s">
        <v>865</v>
      </c>
      <c r="B1012" t="s">
        <v>866</v>
      </c>
      <c r="C1012">
        <v>12</v>
      </c>
      <c r="D1012">
        <f t="shared" si="73"/>
        <v>12</v>
      </c>
      <c r="E1012" t="str">
        <f t="shared" si="74"/>
        <v/>
      </c>
      <c r="F1012" t="str">
        <f>SUBSTITUTE(UPPER(CLEAN(G1012))," ","")</f>
        <v>ESCOBAEXTRAGRANDE(12)</v>
      </c>
      <c r="G1012" t="s">
        <v>2793</v>
      </c>
      <c r="H1012" s="2">
        <v>1.4646951510501277E-5</v>
      </c>
    </row>
    <row r="1013" spans="1:8" x14ac:dyDescent="0.3">
      <c r="A1013" t="s">
        <v>2021</v>
      </c>
      <c r="B1013" t="s">
        <v>2022</v>
      </c>
      <c r="C1013">
        <v>3</v>
      </c>
      <c r="D1013">
        <f t="shared" si="73"/>
        <v>3</v>
      </c>
      <c r="E1013" t="str">
        <f t="shared" si="74"/>
        <v/>
      </c>
      <c r="F1013" t="str">
        <f t="shared" ref="F1013:F1041" si="79">SUBSTITUTE(UPPER(CLEAN(B1013))," ","")</f>
        <v>PASTAPENNE/PLUMABARILLA4KG(3)</v>
      </c>
      <c r="G1013" t="s">
        <v>3370</v>
      </c>
      <c r="H1013" s="2">
        <v>1.4338145100198999E-5</v>
      </c>
    </row>
    <row r="1014" spans="1:8" x14ac:dyDescent="0.3">
      <c r="A1014" t="s">
        <v>253</v>
      </c>
      <c r="B1014" t="s">
        <v>254</v>
      </c>
      <c r="C1014">
        <v>12</v>
      </c>
      <c r="D1014">
        <f t="shared" si="73"/>
        <v>12</v>
      </c>
      <c r="E1014" t="str">
        <f t="shared" si="74"/>
        <v/>
      </c>
      <c r="F1014" t="str">
        <f t="shared" si="79"/>
        <v>CONCENTRADOGUANABANAFRUTIVA1L(12)</v>
      </c>
      <c r="G1014" t="s">
        <v>2487</v>
      </c>
      <c r="H1014" s="2">
        <v>1.4297165466088609E-5</v>
      </c>
    </row>
    <row r="1015" spans="1:8" x14ac:dyDescent="0.3">
      <c r="A1015" t="s">
        <v>807</v>
      </c>
      <c r="B1015" t="s">
        <v>808</v>
      </c>
      <c r="C1015">
        <v>10</v>
      </c>
      <c r="D1015">
        <f t="shared" si="73"/>
        <v>10</v>
      </c>
      <c r="E1015" t="str">
        <f t="shared" si="74"/>
        <v/>
      </c>
      <c r="F1015" t="str">
        <f t="shared" si="79"/>
        <v>TAPAP/TAZONDART8OZ20JLC/100(10)</v>
      </c>
      <c r="G1015" t="s">
        <v>2764</v>
      </c>
      <c r="H1015" s="2">
        <v>1.4252856493600141E-5</v>
      </c>
    </row>
    <row r="1016" spans="1:8" x14ac:dyDescent="0.3">
      <c r="A1016" t="s">
        <v>985</v>
      </c>
      <c r="B1016" t="s">
        <v>986</v>
      </c>
      <c r="C1016">
        <v>24</v>
      </c>
      <c r="D1016">
        <f t="shared" si="73"/>
        <v>24</v>
      </c>
      <c r="E1016" t="str">
        <f t="shared" si="74"/>
        <v/>
      </c>
      <c r="F1016" t="str">
        <f t="shared" si="79"/>
        <v>-MOSTAZAMC115GR(24)</v>
      </c>
      <c r="G1016" t="s">
        <v>2853</v>
      </c>
      <c r="H1016" s="2">
        <v>1.4168424459343604E-5</v>
      </c>
    </row>
    <row r="1017" spans="1:8" x14ac:dyDescent="0.3">
      <c r="A1017" t="s">
        <v>2213</v>
      </c>
      <c r="B1017" t="s">
        <v>2214</v>
      </c>
      <c r="C1017">
        <v>24</v>
      </c>
      <c r="D1017">
        <f t="shared" si="73"/>
        <v>24</v>
      </c>
      <c r="E1017" t="str">
        <f t="shared" si="74"/>
        <v/>
      </c>
      <c r="F1017" t="str">
        <f t="shared" si="79"/>
        <v>JUGOCAMPBELL'SV-8340ML(24)LATA</v>
      </c>
      <c r="G1017" t="s">
        <v>3466</v>
      </c>
      <c r="H1017" s="2">
        <v>1.414475575367002E-5</v>
      </c>
    </row>
    <row r="1018" spans="1:8" x14ac:dyDescent="0.3">
      <c r="A1018" t="s">
        <v>1362</v>
      </c>
      <c r="B1018" t="s">
        <v>1363</v>
      </c>
      <c r="C1018">
        <v>12</v>
      </c>
      <c r="D1018">
        <f t="shared" si="73"/>
        <v>12</v>
      </c>
      <c r="E1018" t="str">
        <f t="shared" si="74"/>
        <v/>
      </c>
      <c r="F1018" t="str">
        <f t="shared" si="79"/>
        <v>-HARINAP/PASTELAMARILLOBETTY375G(12)</v>
      </c>
      <c r="G1018" t="s">
        <v>3041</v>
      </c>
      <c r="H1018" s="2">
        <v>1.4131931635472986E-5</v>
      </c>
    </row>
    <row r="1019" spans="1:8" x14ac:dyDescent="0.3">
      <c r="A1019" t="s">
        <v>2341</v>
      </c>
      <c r="B1019" t="s">
        <v>2342</v>
      </c>
      <c r="C1019">
        <v>12</v>
      </c>
      <c r="D1019">
        <f t="shared" si="73"/>
        <v>12</v>
      </c>
      <c r="E1019" t="str">
        <f t="shared" si="74"/>
        <v/>
      </c>
      <c r="F1019" t="str">
        <f t="shared" si="79"/>
        <v>ACEITUNAC/ANCHOASCARBONELL340G(12)</v>
      </c>
      <c r="G1019" t="s">
        <v>3530</v>
      </c>
      <c r="H1019" s="2">
        <v>1.4057206485209505E-5</v>
      </c>
    </row>
    <row r="1020" spans="1:8" x14ac:dyDescent="0.3">
      <c r="A1020" t="s">
        <v>785</v>
      </c>
      <c r="B1020" t="s">
        <v>786</v>
      </c>
      <c r="C1020">
        <v>40</v>
      </c>
      <c r="D1020">
        <f t="shared" si="73"/>
        <v>40</v>
      </c>
      <c r="E1020">
        <f t="shared" si="74"/>
        <v>25</v>
      </c>
      <c r="F1020" t="str">
        <f t="shared" si="79"/>
        <v>VASOPLASTICOREYMA#16C/25PZAS.(40)</v>
      </c>
      <c r="G1020" t="s">
        <v>2753</v>
      </c>
      <c r="H1020" s="2">
        <v>1.3910551184802407E-5</v>
      </c>
    </row>
    <row r="1021" spans="1:8" x14ac:dyDescent="0.3">
      <c r="A1021" t="s">
        <v>1476</v>
      </c>
      <c r="B1021" t="s">
        <v>1477</v>
      </c>
      <c r="C1021">
        <v>24</v>
      </c>
      <c r="D1021">
        <f t="shared" si="73"/>
        <v>24</v>
      </c>
      <c r="E1021" t="str">
        <f t="shared" si="74"/>
        <v/>
      </c>
      <c r="F1021" t="str">
        <f t="shared" si="79"/>
        <v>-SALSAVERDEDELPRIMO300GR(24)B9</v>
      </c>
      <c r="G1021" t="s">
        <v>3098</v>
      </c>
      <c r="H1021" s="2">
        <v>1.3752962566310614E-5</v>
      </c>
    </row>
    <row r="1022" spans="1:8" x14ac:dyDescent="0.3">
      <c r="A1022" t="s">
        <v>625</v>
      </c>
      <c r="B1022" t="s">
        <v>626</v>
      </c>
      <c r="C1022">
        <v>1</v>
      </c>
      <c r="D1022" t="str">
        <f t="shared" si="73"/>
        <v/>
      </c>
      <c r="E1022" t="str">
        <f t="shared" si="74"/>
        <v/>
      </c>
      <c r="F1022" t="str">
        <f t="shared" si="79"/>
        <v>-SALLAFINAC/25/500GR</v>
      </c>
      <c r="G1022" t="s">
        <v>2673</v>
      </c>
      <c r="H1022" s="2">
        <v>1.3696363749146188E-5</v>
      </c>
    </row>
    <row r="1023" spans="1:8" x14ac:dyDescent="0.3">
      <c r="A1023" t="s">
        <v>1893</v>
      </c>
      <c r="B1023" t="s">
        <v>1894</v>
      </c>
      <c r="C1023">
        <v>60</v>
      </c>
      <c r="D1023">
        <f t="shared" si="73"/>
        <v>60</v>
      </c>
      <c r="E1023" t="str">
        <f t="shared" si="74"/>
        <v/>
      </c>
      <c r="F1023" t="str">
        <f t="shared" si="79"/>
        <v>MICRODYNGOTERO15ML(60)</v>
      </c>
      <c r="G1023" t="s">
        <v>3306</v>
      </c>
      <c r="H1023" s="2">
        <v>1.3605708519087102E-5</v>
      </c>
    </row>
    <row r="1024" spans="1:8" x14ac:dyDescent="0.3">
      <c r="A1024" t="s">
        <v>1733</v>
      </c>
      <c r="B1024" t="s">
        <v>1734</v>
      </c>
      <c r="C1024">
        <v>12</v>
      </c>
      <c r="D1024">
        <f t="shared" si="73"/>
        <v>12</v>
      </c>
      <c r="E1024" t="str">
        <f t="shared" si="74"/>
        <v/>
      </c>
      <c r="F1024" t="str">
        <f t="shared" si="79"/>
        <v>MAYONESACONLIMONMC725G(12)</v>
      </c>
      <c r="G1024" t="s">
        <v>3226</v>
      </c>
      <c r="H1024" s="2">
        <v>1.3125978209978784E-5</v>
      </c>
    </row>
    <row r="1025" spans="1:8" x14ac:dyDescent="0.3">
      <c r="A1025" t="s">
        <v>391</v>
      </c>
      <c r="B1025" t="s">
        <v>392</v>
      </c>
      <c r="C1025">
        <v>1</v>
      </c>
      <c r="D1025" t="str">
        <f t="shared" si="73"/>
        <v/>
      </c>
      <c r="E1025" t="str">
        <f t="shared" si="74"/>
        <v/>
      </c>
      <c r="F1025" t="str">
        <f t="shared" si="79"/>
        <v>-HOJADELAURELMCMEMBERSM40GR</v>
      </c>
      <c r="G1025" t="s">
        <v>2556</v>
      </c>
      <c r="H1025" s="2">
        <v>1.3096178576347858E-5</v>
      </c>
    </row>
    <row r="1026" spans="1:8" x14ac:dyDescent="0.3">
      <c r="A1026" t="s">
        <v>1021</v>
      </c>
      <c r="B1026" t="s">
        <v>1022</v>
      </c>
      <c r="C1026">
        <v>24</v>
      </c>
      <c r="D1026">
        <f t="shared" ref="D1026:D1089" si="80">IFERROR(VALUE(IFERROR(
    MID(G1026,FIND("(",G1026)+1,FIND(")",G1026)-FIND("(",G1026)-1),
    IFERROR(
        MID(G1026,FIND("(",G1026)+1,LEN(G1026)-FIND("(",G1026)),
        ""
    )
)),"")</f>
        <v>24</v>
      </c>
      <c r="E1026" t="str">
        <f t="shared" ref="E1026:E1089" si="81">IFERROR(VALUE(MID(SUBSTITUTE(G1026," ",""),
FIND("/",SUBSTITUTE(G1026," ",""))+1,
MIN(IFERROR(FIND("PZS",SUBSTITUTE(G1026," ","")),999),
    IFERROR(FIND("PZA",SUBSTITUTE(G1026," ","")),999))
-FIND("/",SUBSTITUTE(G1026," ",""))-1)),"")</f>
        <v/>
      </c>
      <c r="F1026" t="str">
        <f t="shared" si="79"/>
        <v>ENSALADACAMPESINADELMONTE215GR(24)</v>
      </c>
      <c r="G1026" t="s">
        <v>2871</v>
      </c>
      <c r="H1026" s="2">
        <v>1.300699123781018E-5</v>
      </c>
    </row>
    <row r="1027" spans="1:8" x14ac:dyDescent="0.3">
      <c r="A1027" t="s">
        <v>1548</v>
      </c>
      <c r="B1027" t="s">
        <v>1549</v>
      </c>
      <c r="C1027">
        <v>1</v>
      </c>
      <c r="D1027" t="str">
        <f t="shared" si="80"/>
        <v/>
      </c>
      <c r="E1027" t="str">
        <f t="shared" si="81"/>
        <v/>
      </c>
      <c r="F1027" t="str">
        <f t="shared" si="79"/>
        <v>-GALLETASEMPERADORNUEZ16/91G</v>
      </c>
      <c r="G1027" t="s">
        <v>3134</v>
      </c>
      <c r="H1027" s="2">
        <v>1.2758981742497515E-5</v>
      </c>
    </row>
    <row r="1028" spans="1:8" x14ac:dyDescent="0.3">
      <c r="A1028" t="s">
        <v>2329</v>
      </c>
      <c r="B1028" t="s">
        <v>2330</v>
      </c>
      <c r="C1028">
        <v>6</v>
      </c>
      <c r="D1028">
        <f t="shared" si="80"/>
        <v>6</v>
      </c>
      <c r="E1028" t="str">
        <f t="shared" si="81"/>
        <v/>
      </c>
      <c r="F1028" t="str">
        <f t="shared" si="79"/>
        <v>SALSALABOTANERAMUYPICANTE4L(6)</v>
      </c>
      <c r="G1028" t="s">
        <v>3524</v>
      </c>
      <c r="H1028" s="2">
        <v>1.2743967458301776E-5</v>
      </c>
    </row>
    <row r="1029" spans="1:8" x14ac:dyDescent="0.3">
      <c r="A1029" t="s">
        <v>817</v>
      </c>
      <c r="B1029" t="s">
        <v>818</v>
      </c>
      <c r="C1029">
        <v>20</v>
      </c>
      <c r="D1029">
        <f t="shared" si="80"/>
        <v>18</v>
      </c>
      <c r="E1029" t="str">
        <f t="shared" si="81"/>
        <v/>
      </c>
      <c r="F1029" t="str">
        <f t="shared" si="79"/>
        <v>DETERGENTEARCOIRIS800GR(18)</v>
      </c>
      <c r="G1029" t="s">
        <v>2769</v>
      </c>
      <c r="H1029" s="2">
        <v>1.2682843401495559E-5</v>
      </c>
    </row>
    <row r="1030" spans="1:8" x14ac:dyDescent="0.3">
      <c r="A1030" t="s">
        <v>1726</v>
      </c>
      <c r="B1030" t="s">
        <v>1727</v>
      </c>
      <c r="C1030" t="s">
        <v>1728</v>
      </c>
      <c r="D1030">
        <f t="shared" si="80"/>
        <v>12</v>
      </c>
      <c r="E1030" t="str">
        <f t="shared" si="81"/>
        <v/>
      </c>
      <c r="F1030" t="str">
        <f t="shared" si="79"/>
        <v>CLORALEX500ML+1ENSUEÑO450ML(12)B9</v>
      </c>
      <c r="G1030" t="s">
        <v>3223</v>
      </c>
      <c r="H1030" s="2">
        <v>1.2615437260988165E-5</v>
      </c>
    </row>
    <row r="1031" spans="1:8" x14ac:dyDescent="0.3">
      <c r="A1031" t="s">
        <v>935</v>
      </c>
      <c r="B1031" t="s">
        <v>936</v>
      </c>
      <c r="C1031">
        <v>40</v>
      </c>
      <c r="D1031">
        <f t="shared" si="80"/>
        <v>40</v>
      </c>
      <c r="E1031" t="str">
        <f t="shared" si="81"/>
        <v/>
      </c>
      <c r="F1031" t="str">
        <f t="shared" si="79"/>
        <v>JABONROSAVENUS150GR.(40)</v>
      </c>
      <c r="G1031" t="s">
        <v>2828</v>
      </c>
      <c r="H1031" s="2">
        <v>1.2503515242107401E-5</v>
      </c>
    </row>
    <row r="1032" spans="1:8" x14ac:dyDescent="0.3">
      <c r="A1032" t="s">
        <v>471</v>
      </c>
      <c r="B1032" t="s">
        <v>472</v>
      </c>
      <c r="C1032">
        <v>24</v>
      </c>
      <c r="D1032">
        <f t="shared" si="80"/>
        <v>24</v>
      </c>
      <c r="E1032" t="str">
        <f t="shared" si="81"/>
        <v/>
      </c>
      <c r="F1032" t="str">
        <f t="shared" si="79"/>
        <v>-BEBIDAGATORADELIMA-LIMON500ML(24)</v>
      </c>
      <c r="G1032" t="s">
        <v>2596</v>
      </c>
      <c r="H1032" s="2">
        <v>1.2490545881153699E-5</v>
      </c>
    </row>
    <row r="1033" spans="1:8" x14ac:dyDescent="0.3">
      <c r="A1033" t="s">
        <v>751</v>
      </c>
      <c r="B1033" t="s">
        <v>752</v>
      </c>
      <c r="C1033">
        <v>26</v>
      </c>
      <c r="D1033">
        <f t="shared" si="80"/>
        <v>28</v>
      </c>
      <c r="E1033" t="str">
        <f t="shared" si="81"/>
        <v/>
      </c>
      <c r="F1033" t="str">
        <f t="shared" si="79"/>
        <v>-CHOCOLATECARLOSVSUIZO16/18G(28)</v>
      </c>
      <c r="G1033" t="s">
        <v>2736</v>
      </c>
      <c r="H1033" s="2">
        <v>1.2490259427058106E-5</v>
      </c>
    </row>
    <row r="1034" spans="1:8" x14ac:dyDescent="0.3">
      <c r="A1034" t="s">
        <v>2279</v>
      </c>
      <c r="B1034" t="s">
        <v>2280</v>
      </c>
      <c r="C1034">
        <v>6</v>
      </c>
      <c r="D1034" t="str">
        <f t="shared" si="80"/>
        <v/>
      </c>
      <c r="E1034" t="str">
        <f t="shared" si="81"/>
        <v/>
      </c>
      <c r="F1034" t="str">
        <f t="shared" si="79"/>
        <v>QUESOCHEDARP/NACHOSGEHL'S3KG</v>
      </c>
      <c r="G1034" t="s">
        <v>3499</v>
      </c>
      <c r="H1034" s="2">
        <v>1.2384974354670723E-5</v>
      </c>
    </row>
    <row r="1035" spans="1:8" x14ac:dyDescent="0.3">
      <c r="A1035" t="s">
        <v>1584</v>
      </c>
      <c r="B1035" t="s">
        <v>1585</v>
      </c>
      <c r="C1035">
        <v>8</v>
      </c>
      <c r="D1035">
        <f t="shared" si="80"/>
        <v>8</v>
      </c>
      <c r="E1035" t="str">
        <f t="shared" si="81"/>
        <v/>
      </c>
      <c r="F1035" t="str">
        <f t="shared" si="79"/>
        <v>MERMELADAFRESASMUCKERSS/A365G(8)</v>
      </c>
      <c r="G1035" t="s">
        <v>3152</v>
      </c>
      <c r="H1035" s="2">
        <v>1.2359737147706048E-5</v>
      </c>
    </row>
    <row r="1036" spans="1:8" x14ac:dyDescent="0.3">
      <c r="A1036" t="s">
        <v>1586</v>
      </c>
      <c r="B1036" t="s">
        <v>1587</v>
      </c>
      <c r="C1036">
        <v>12</v>
      </c>
      <c r="D1036">
        <f t="shared" si="80"/>
        <v>12</v>
      </c>
      <c r="E1036" t="str">
        <f t="shared" si="81"/>
        <v/>
      </c>
      <c r="F1036" t="str">
        <f t="shared" si="79"/>
        <v>TETWININGSDESAYUNOINGLES/25/2GR(12)</v>
      </c>
      <c r="G1036" t="s">
        <v>3153</v>
      </c>
      <c r="H1036" s="2">
        <v>1.2273503173419588E-5</v>
      </c>
    </row>
    <row r="1037" spans="1:8" x14ac:dyDescent="0.3">
      <c r="A1037" t="s">
        <v>601</v>
      </c>
      <c r="B1037" t="s">
        <v>602</v>
      </c>
      <c r="C1037">
        <v>20</v>
      </c>
      <c r="D1037">
        <f t="shared" si="80"/>
        <v>20</v>
      </c>
      <c r="E1037" t="str">
        <f t="shared" si="81"/>
        <v/>
      </c>
      <c r="F1037" t="str">
        <f t="shared" si="79"/>
        <v>SOPADESEÑASLAMODERNA200GR(20)</v>
      </c>
      <c r="G1037" t="s">
        <v>2661</v>
      </c>
      <c r="H1037" s="2">
        <v>1.2221549053544428E-5</v>
      </c>
    </row>
    <row r="1038" spans="1:8" x14ac:dyDescent="0.3">
      <c r="A1038" t="s">
        <v>1676</v>
      </c>
      <c r="B1038" t="s">
        <v>1677</v>
      </c>
      <c r="C1038">
        <v>12</v>
      </c>
      <c r="D1038">
        <f t="shared" si="80"/>
        <v>12</v>
      </c>
      <c r="E1038" t="str">
        <f t="shared" si="81"/>
        <v/>
      </c>
      <c r="F1038" t="str">
        <f t="shared" si="79"/>
        <v>SALCONAPIOMC104G(12)</v>
      </c>
      <c r="G1038" t="s">
        <v>3198</v>
      </c>
      <c r="H1038" s="2">
        <v>1.2153055452516794E-5</v>
      </c>
    </row>
    <row r="1039" spans="1:8" x14ac:dyDescent="0.3">
      <c r="A1039" t="s">
        <v>2237</v>
      </c>
      <c r="B1039" t="s">
        <v>2238</v>
      </c>
      <c r="C1039">
        <v>12</v>
      </c>
      <c r="D1039">
        <f t="shared" si="80"/>
        <v>12</v>
      </c>
      <c r="E1039" t="str">
        <f t="shared" si="81"/>
        <v/>
      </c>
      <c r="F1039" t="str">
        <f t="shared" si="79"/>
        <v>LAVATRASTESAXIONLIQ.LIMON400M(12)</v>
      </c>
      <c r="G1039" t="s">
        <v>3478</v>
      </c>
      <c r="H1039" s="2">
        <v>1.2134538906943724E-5</v>
      </c>
    </row>
    <row r="1040" spans="1:8" x14ac:dyDescent="0.3">
      <c r="A1040" t="s">
        <v>405</v>
      </c>
      <c r="B1040" t="s">
        <v>406</v>
      </c>
      <c r="C1040">
        <v>12</v>
      </c>
      <c r="D1040">
        <f t="shared" si="80"/>
        <v>12</v>
      </c>
      <c r="E1040" t="str">
        <f t="shared" si="81"/>
        <v/>
      </c>
      <c r="F1040" t="str">
        <f t="shared" si="79"/>
        <v>-TROZO/PIÑACLEMTEJACQUES800GR(12)</v>
      </c>
      <c r="G1040" t="s">
        <v>2563</v>
      </c>
      <c r="H1040" s="2">
        <v>1.209515750400636E-5</v>
      </c>
    </row>
    <row r="1041" spans="1:8" x14ac:dyDescent="0.3">
      <c r="A1041" t="s">
        <v>703</v>
      </c>
      <c r="B1041" t="s">
        <v>704</v>
      </c>
      <c r="C1041">
        <v>12</v>
      </c>
      <c r="D1041">
        <f t="shared" si="80"/>
        <v>12</v>
      </c>
      <c r="E1041" t="str">
        <f t="shared" si="81"/>
        <v/>
      </c>
      <c r="F1041" t="str">
        <f t="shared" si="79"/>
        <v>TETWININGSMANZANILLAPURA20GR(12)</v>
      </c>
      <c r="G1041" t="s">
        <v>2712</v>
      </c>
      <c r="H1041" s="2">
        <v>1.2015993235905443E-5</v>
      </c>
    </row>
    <row r="1042" spans="1:8" x14ac:dyDescent="0.3">
      <c r="A1042" t="s">
        <v>867</v>
      </c>
      <c r="B1042" t="s">
        <v>868</v>
      </c>
      <c r="C1042">
        <v>12</v>
      </c>
      <c r="D1042">
        <f t="shared" si="80"/>
        <v>12</v>
      </c>
      <c r="E1042" t="str">
        <f t="shared" si="81"/>
        <v/>
      </c>
      <c r="F1042" t="str">
        <f>SUBSTITUTE(UPPER(CLEAN(G1042))," ","")</f>
        <v>TRAPEADORALGODONNO.30HILOSUAVE(12)</v>
      </c>
      <c r="G1042" t="s">
        <v>2794</v>
      </c>
      <c r="H1042" s="2">
        <v>1.192881389393138E-5</v>
      </c>
    </row>
    <row r="1043" spans="1:8" x14ac:dyDescent="0.3">
      <c r="A1043" t="s">
        <v>3</v>
      </c>
      <c r="B1043" t="s">
        <v>4</v>
      </c>
      <c r="C1043">
        <v>1</v>
      </c>
      <c r="D1043" t="str">
        <f t="shared" si="80"/>
        <v/>
      </c>
      <c r="E1043" t="str">
        <f t="shared" si="81"/>
        <v/>
      </c>
      <c r="F1043" t="str">
        <f>SUBSTITUTE(UPPER(CLEAN(G1043))," ","")</f>
        <v>%FRIJOLESBAYOSKNORR18KG</v>
      </c>
      <c r="G1043" t="s">
        <v>2362</v>
      </c>
      <c r="H1043" s="2">
        <v>1.1915743158076712E-5</v>
      </c>
    </row>
    <row r="1044" spans="1:8" x14ac:dyDescent="0.3">
      <c r="A1044" t="s">
        <v>655</v>
      </c>
      <c r="B1044" t="s">
        <v>656</v>
      </c>
      <c r="C1044">
        <v>12</v>
      </c>
      <c r="D1044">
        <f t="shared" si="80"/>
        <v>12</v>
      </c>
      <c r="E1044" t="str">
        <f t="shared" si="81"/>
        <v/>
      </c>
      <c r="F1044" t="str">
        <f>SUBSTITUTE(UPPER(CLEAN(B1044))," ","")</f>
        <v>-SALSACHAMOYTORITO1LTO(12)</v>
      </c>
      <c r="G1044" t="s">
        <v>2688</v>
      </c>
      <c r="H1044" s="2">
        <v>1.1858501889706572E-5</v>
      </c>
    </row>
    <row r="1045" spans="1:8" x14ac:dyDescent="0.3">
      <c r="A1045" t="s">
        <v>2117</v>
      </c>
      <c r="B1045" t="s">
        <v>2118</v>
      </c>
      <c r="C1045">
        <v>24</v>
      </c>
      <c r="D1045">
        <f t="shared" si="80"/>
        <v>24</v>
      </c>
      <c r="E1045" t="str">
        <f t="shared" si="81"/>
        <v/>
      </c>
      <c r="F1045" t="str">
        <f>SUBSTITUTE(UPPER(CLEAN(B1045))," ","")</f>
        <v>PASTAYEMINACORBATA200GR(24)</v>
      </c>
      <c r="G1045" t="s">
        <v>3418</v>
      </c>
      <c r="H1045" s="2">
        <v>1.1820507409973246E-5</v>
      </c>
    </row>
    <row r="1046" spans="1:8" x14ac:dyDescent="0.3">
      <c r="A1046" t="s">
        <v>901</v>
      </c>
      <c r="B1046" t="s">
        <v>902</v>
      </c>
      <c r="C1046">
        <v>25</v>
      </c>
      <c r="D1046">
        <f t="shared" si="80"/>
        <v>25</v>
      </c>
      <c r="E1046" t="str">
        <f t="shared" si="81"/>
        <v/>
      </c>
      <c r="F1046" t="str">
        <f>SUBSTITUTE(UPPER(CLEAN(G1046))," ","")</f>
        <v>BOLSACAMISETABIODEGRADABLEMED.1KG(25)</v>
      </c>
      <c r="G1046" t="s">
        <v>2811</v>
      </c>
      <c r="H1046" s="2">
        <v>1.1801096734408154E-5</v>
      </c>
    </row>
    <row r="1047" spans="1:8" x14ac:dyDescent="0.3">
      <c r="A1047" t="s">
        <v>1197</v>
      </c>
      <c r="B1047" t="s">
        <v>1198</v>
      </c>
      <c r="C1047">
        <v>50</v>
      </c>
      <c r="D1047">
        <f t="shared" si="80"/>
        <v>50</v>
      </c>
      <c r="E1047" t="str">
        <f t="shared" si="81"/>
        <v/>
      </c>
      <c r="F1047" t="str">
        <f>SUBSTITUTE(UPPER(CLEAN(B1047))," ","")</f>
        <v>PASTILLASANITARIAFLASHLAVANDA72G(50)</v>
      </c>
      <c r="G1047" t="s">
        <v>2959</v>
      </c>
      <c r="H1047" s="2">
        <v>1.1792064402772632E-5</v>
      </c>
    </row>
    <row r="1048" spans="1:8" x14ac:dyDescent="0.3">
      <c r="A1048" t="s">
        <v>823</v>
      </c>
      <c r="B1048" t="s">
        <v>824</v>
      </c>
      <c r="C1048">
        <v>40</v>
      </c>
      <c r="D1048">
        <f t="shared" si="80"/>
        <v>40</v>
      </c>
      <c r="E1048" t="str">
        <f t="shared" si="81"/>
        <v/>
      </c>
      <c r="F1048" t="str">
        <f>SUBSTITUTE(UPPER(CLEAN(B1048))," ","")</f>
        <v>DETERGENTEROMA250GR(40)</v>
      </c>
      <c r="G1048" t="s">
        <v>2772</v>
      </c>
      <c r="H1048" s="2">
        <v>1.1638694731121699E-5</v>
      </c>
    </row>
    <row r="1049" spans="1:8" x14ac:dyDescent="0.3">
      <c r="A1049" t="s">
        <v>907</v>
      </c>
      <c r="B1049" t="s">
        <v>908</v>
      </c>
      <c r="C1049">
        <v>25</v>
      </c>
      <c r="D1049">
        <f t="shared" si="80"/>
        <v>25</v>
      </c>
      <c r="E1049" t="str">
        <f t="shared" si="81"/>
        <v/>
      </c>
      <c r="F1049" t="str">
        <f>SUBSTITUTE(UPPER(CLEAN(G1049))," ","")</f>
        <v>BOLSAP/BASURANEGRAPLA-GON50X70(25)</v>
      </c>
      <c r="G1049" t="s">
        <v>2814</v>
      </c>
      <c r="H1049" s="2">
        <v>1.1607799909576157E-5</v>
      </c>
    </row>
    <row r="1050" spans="1:8" x14ac:dyDescent="0.3">
      <c r="A1050" t="s">
        <v>45</v>
      </c>
      <c r="B1050" t="s">
        <v>46</v>
      </c>
      <c r="C1050">
        <v>10</v>
      </c>
      <c r="D1050">
        <f t="shared" si="80"/>
        <v>10</v>
      </c>
      <c r="E1050" t="str">
        <f t="shared" si="81"/>
        <v/>
      </c>
      <c r="F1050" t="str">
        <f t="shared" ref="F1050:F1060" si="82">SUBSTITUTE(UPPER(CLEAN(B1050))," ","")</f>
        <v>-MANGAMERMELADAFRESA1K(10)</v>
      </c>
      <c r="G1050" t="s">
        <v>2383</v>
      </c>
      <c r="H1050" s="2">
        <v>1.1423124386950291E-5</v>
      </c>
    </row>
    <row r="1051" spans="1:8" x14ac:dyDescent="0.3">
      <c r="A1051" t="s">
        <v>513</v>
      </c>
      <c r="B1051" t="s">
        <v>514</v>
      </c>
      <c r="C1051">
        <v>12</v>
      </c>
      <c r="D1051">
        <f t="shared" si="80"/>
        <v>12</v>
      </c>
      <c r="E1051" t="str">
        <f t="shared" si="81"/>
        <v/>
      </c>
      <c r="F1051" t="str">
        <f t="shared" si="82"/>
        <v>-PRODUCTOLACTEOVAIL1LTO(12)</v>
      </c>
      <c r="G1051" t="s">
        <v>2617</v>
      </c>
      <c r="H1051" s="2">
        <v>1.1390283135541862E-5</v>
      </c>
    </row>
    <row r="1052" spans="1:8" x14ac:dyDescent="0.3">
      <c r="A1052" t="s">
        <v>257</v>
      </c>
      <c r="B1052" t="s">
        <v>258</v>
      </c>
      <c r="C1052">
        <v>12</v>
      </c>
      <c r="D1052">
        <f t="shared" si="80"/>
        <v>12</v>
      </c>
      <c r="E1052" t="str">
        <f t="shared" si="81"/>
        <v/>
      </c>
      <c r="F1052" t="str">
        <f t="shared" si="82"/>
        <v>TANGHORCHATAC/8/13G(12)</v>
      </c>
      <c r="G1052" t="s">
        <v>2489</v>
      </c>
      <c r="H1052" s="2">
        <v>1.1364100560889587E-5</v>
      </c>
    </row>
    <row r="1053" spans="1:8" x14ac:dyDescent="0.3">
      <c r="A1053" t="s">
        <v>459</v>
      </c>
      <c r="B1053" t="s">
        <v>460</v>
      </c>
      <c r="C1053">
        <v>12</v>
      </c>
      <c r="D1053">
        <f t="shared" si="80"/>
        <v>12</v>
      </c>
      <c r="E1053" t="str">
        <f t="shared" si="81"/>
        <v/>
      </c>
      <c r="F1053" t="str">
        <f t="shared" si="82"/>
        <v>HARINAP/PASTELREDVELVETDUNCAN432(12</v>
      </c>
      <c r="G1053" t="s">
        <v>2590</v>
      </c>
      <c r="H1053" s="2">
        <v>1.1340466368699542E-5</v>
      </c>
    </row>
    <row r="1054" spans="1:8" x14ac:dyDescent="0.3">
      <c r="A1054" t="s">
        <v>1508</v>
      </c>
      <c r="B1054" t="s">
        <v>1509</v>
      </c>
      <c r="C1054">
        <v>12</v>
      </c>
      <c r="D1054">
        <f t="shared" si="80"/>
        <v>12</v>
      </c>
      <c r="E1054" t="str">
        <f t="shared" si="81"/>
        <v/>
      </c>
      <c r="F1054" t="str">
        <f t="shared" si="82"/>
        <v>ACEITEOLIVACARBONELL450ML(12)LATA</v>
      </c>
      <c r="G1054" t="s">
        <v>3114</v>
      </c>
      <c r="H1054" s="2">
        <v>1.1227885407989049E-5</v>
      </c>
    </row>
    <row r="1055" spans="1:8" x14ac:dyDescent="0.3">
      <c r="A1055" t="s">
        <v>1388</v>
      </c>
      <c r="B1055" t="s">
        <v>1389</v>
      </c>
      <c r="C1055">
        <v>12</v>
      </c>
      <c r="D1055">
        <f t="shared" si="80"/>
        <v>12</v>
      </c>
      <c r="E1055" t="str">
        <f t="shared" si="81"/>
        <v/>
      </c>
      <c r="F1055" t="str">
        <f t="shared" si="82"/>
        <v>CAJETAREALPOTOSI640G(12)</v>
      </c>
      <c r="G1055" t="s">
        <v>3054</v>
      </c>
      <c r="H1055" s="2">
        <v>1.1072700691580202E-5</v>
      </c>
    </row>
    <row r="1056" spans="1:8" x14ac:dyDescent="0.3">
      <c r="A1056" t="s">
        <v>1291</v>
      </c>
      <c r="B1056" t="s">
        <v>1292</v>
      </c>
      <c r="C1056">
        <v>6</v>
      </c>
      <c r="D1056">
        <f t="shared" si="80"/>
        <v>6</v>
      </c>
      <c r="E1056" t="str">
        <f t="shared" si="81"/>
        <v/>
      </c>
      <c r="F1056" t="str">
        <f t="shared" si="82"/>
        <v>NESCAFEFRAPPEN1MX1.5KG(6)</v>
      </c>
      <c r="G1056" t="s">
        <v>3006</v>
      </c>
      <c r="H1056" s="2">
        <v>1.1066186027657358E-5</v>
      </c>
    </row>
    <row r="1057" spans="1:8" x14ac:dyDescent="0.3">
      <c r="A1057" t="s">
        <v>1169</v>
      </c>
      <c r="B1057" t="s">
        <v>1170</v>
      </c>
      <c r="C1057">
        <v>1</v>
      </c>
      <c r="D1057" t="str">
        <f t="shared" si="80"/>
        <v/>
      </c>
      <c r="E1057" t="str">
        <f t="shared" si="81"/>
        <v/>
      </c>
      <c r="F1057" t="str">
        <f t="shared" si="82"/>
        <v>CHILESECOQUEBRADOHEINZC/400/1GR*</v>
      </c>
      <c r="G1057" t="s">
        <v>2945</v>
      </c>
      <c r="H1057" s="2">
        <v>1.1064583415691571E-5</v>
      </c>
    </row>
    <row r="1058" spans="1:8" x14ac:dyDescent="0.3">
      <c r="A1058" t="s">
        <v>1235</v>
      </c>
      <c r="B1058" t="s">
        <v>1236</v>
      </c>
      <c r="C1058">
        <v>24</v>
      </c>
      <c r="D1058">
        <f t="shared" si="80"/>
        <v>24</v>
      </c>
      <c r="E1058" t="str">
        <f t="shared" si="81"/>
        <v/>
      </c>
      <c r="F1058" t="str">
        <f t="shared" si="82"/>
        <v>-CONSOMATEC/8CUBOS(24)</v>
      </c>
      <c r="G1058" t="s">
        <v>2978</v>
      </c>
      <c r="H1058" s="2">
        <v>1.1055376356473188E-5</v>
      </c>
    </row>
    <row r="1059" spans="1:8" x14ac:dyDescent="0.3">
      <c r="A1059" t="s">
        <v>537</v>
      </c>
      <c r="B1059" t="s">
        <v>538</v>
      </c>
      <c r="C1059">
        <v>1</v>
      </c>
      <c r="D1059" t="str">
        <f t="shared" si="80"/>
        <v/>
      </c>
      <c r="E1059" t="str">
        <f t="shared" si="81"/>
        <v/>
      </c>
      <c r="F1059" t="str">
        <f t="shared" si="82"/>
        <v>MERMELADADEFRESABONLATTICUBETA5KG</v>
      </c>
      <c r="G1059" t="s">
        <v>2629</v>
      </c>
      <c r="H1059" s="2">
        <v>1.1025823340499896E-5</v>
      </c>
    </row>
    <row r="1060" spans="1:8" x14ac:dyDescent="0.3">
      <c r="A1060" t="s">
        <v>2331</v>
      </c>
      <c r="B1060" t="s">
        <v>2332</v>
      </c>
      <c r="C1060">
        <v>12</v>
      </c>
      <c r="D1060">
        <f t="shared" si="80"/>
        <v>12</v>
      </c>
      <c r="E1060" t="str">
        <f t="shared" si="81"/>
        <v/>
      </c>
      <c r="F1060" t="str">
        <f t="shared" si="82"/>
        <v>SALSABOTANERAMUYPICANTE370ML(12)</v>
      </c>
      <c r="G1060" t="s">
        <v>3525</v>
      </c>
      <c r="H1060" s="2">
        <v>1.1022326626827878E-5</v>
      </c>
    </row>
    <row r="1061" spans="1:8" x14ac:dyDescent="0.3">
      <c r="A1061" t="s">
        <v>103</v>
      </c>
      <c r="B1061" t="s">
        <v>104</v>
      </c>
      <c r="C1061">
        <v>12</v>
      </c>
      <c r="D1061" t="str">
        <f t="shared" si="80"/>
        <v/>
      </c>
      <c r="E1061" t="str">
        <f t="shared" si="81"/>
        <v/>
      </c>
      <c r="F1061" t="str">
        <f>SUBSTITUTE(UPPER(CLEAN(G1061))," ","")</f>
        <v>#ADEREZODEMAYONEZACHIPOTLESQ12/310G</v>
      </c>
      <c r="G1061" t="s">
        <v>2412</v>
      </c>
      <c r="H1061" s="2">
        <v>1.1013944589990464E-5</v>
      </c>
    </row>
    <row r="1062" spans="1:8" x14ac:dyDescent="0.3">
      <c r="A1062" t="s">
        <v>1041</v>
      </c>
      <c r="B1062" t="s">
        <v>1042</v>
      </c>
      <c r="C1062">
        <v>12</v>
      </c>
      <c r="D1062">
        <f t="shared" si="80"/>
        <v>12</v>
      </c>
      <c r="E1062" t="str">
        <f t="shared" si="81"/>
        <v/>
      </c>
      <c r="F1062" t="str">
        <f t="shared" ref="F1062:F1084" si="83">SUBSTITUTE(UPPER(CLEAN(B1062))," ","")</f>
        <v>SALSATERIYAKIKIKOMAN296ML(12)</v>
      </c>
      <c r="G1062" t="s">
        <v>2881</v>
      </c>
      <c r="H1062" s="2">
        <v>1.0938808410297591E-5</v>
      </c>
    </row>
    <row r="1063" spans="1:8" x14ac:dyDescent="0.3">
      <c r="A1063" t="s">
        <v>197</v>
      </c>
      <c r="B1063" t="s">
        <v>198</v>
      </c>
      <c r="C1063">
        <v>10</v>
      </c>
      <c r="D1063">
        <f t="shared" si="80"/>
        <v>10</v>
      </c>
      <c r="E1063" t="str">
        <f t="shared" si="81"/>
        <v/>
      </c>
      <c r="F1063" t="str">
        <f t="shared" si="83"/>
        <v>#CEREALCORNFLAKESKELLOGG'S410GR(10)</v>
      </c>
      <c r="G1063" t="s">
        <v>2459</v>
      </c>
      <c r="H1063" s="2">
        <v>1.0915050909278727E-5</v>
      </c>
    </row>
    <row r="1064" spans="1:8" x14ac:dyDescent="0.3">
      <c r="A1064" t="s">
        <v>705</v>
      </c>
      <c r="B1064" t="s">
        <v>706</v>
      </c>
      <c r="C1064">
        <v>6</v>
      </c>
      <c r="D1064">
        <f t="shared" si="80"/>
        <v>6</v>
      </c>
      <c r="E1064" t="str">
        <f t="shared" si="81"/>
        <v/>
      </c>
      <c r="F1064" t="str">
        <f t="shared" si="83"/>
        <v>CHAMPINONCHAMPIMEXREB.62ONZ.2.835GR(6)</v>
      </c>
      <c r="G1064" t="s">
        <v>2713</v>
      </c>
      <c r="H1064" s="2">
        <v>1.0810361713612563E-5</v>
      </c>
    </row>
    <row r="1065" spans="1:8" x14ac:dyDescent="0.3">
      <c r="A1065" t="s">
        <v>805</v>
      </c>
      <c r="B1065" t="s">
        <v>806</v>
      </c>
      <c r="C1065">
        <v>40</v>
      </c>
      <c r="D1065">
        <f t="shared" si="80"/>
        <v>40</v>
      </c>
      <c r="E1065" t="str">
        <f t="shared" si="81"/>
        <v/>
      </c>
      <c r="F1065" t="str">
        <f t="shared" si="83"/>
        <v>TAZONTERMICO8OZ.DART8SJ20C/25(40)</v>
      </c>
      <c r="G1065" t="s">
        <v>2763</v>
      </c>
      <c r="H1065" s="2">
        <v>1.0550138981864431E-5</v>
      </c>
    </row>
    <row r="1066" spans="1:8" x14ac:dyDescent="0.3">
      <c r="A1066" t="s">
        <v>627</v>
      </c>
      <c r="B1066" t="s">
        <v>628</v>
      </c>
      <c r="C1066">
        <v>40</v>
      </c>
      <c r="D1066">
        <f t="shared" si="80"/>
        <v>40</v>
      </c>
      <c r="E1066" t="str">
        <f t="shared" si="81"/>
        <v/>
      </c>
      <c r="F1066" t="str">
        <f t="shared" si="83"/>
        <v>-SALPALOMA500GR(40)</v>
      </c>
      <c r="G1066" t="s">
        <v>2674</v>
      </c>
      <c r="H1066" s="2">
        <v>1.0523750892497458E-5</v>
      </c>
    </row>
    <row r="1067" spans="1:8" x14ac:dyDescent="0.3">
      <c r="A1067" t="s">
        <v>1911</v>
      </c>
      <c r="B1067" t="s">
        <v>1912</v>
      </c>
      <c r="C1067">
        <v>4</v>
      </c>
      <c r="D1067">
        <f t="shared" si="80"/>
        <v>4</v>
      </c>
      <c r="E1067" t="str">
        <f t="shared" si="81"/>
        <v/>
      </c>
      <c r="F1067" t="str">
        <f t="shared" si="83"/>
        <v>MAYONESAHELLMANNSREAL1.9K(4)</v>
      </c>
      <c r="G1067" t="s">
        <v>3315</v>
      </c>
      <c r="H1067" s="2">
        <v>1.0437845741754511E-5</v>
      </c>
    </row>
    <row r="1068" spans="1:8" x14ac:dyDescent="0.3">
      <c r="A1068" t="s">
        <v>1763</v>
      </c>
      <c r="B1068" t="s">
        <v>1764</v>
      </c>
      <c r="C1068">
        <v>6</v>
      </c>
      <c r="D1068">
        <f t="shared" si="80"/>
        <v>6</v>
      </c>
      <c r="E1068" t="str">
        <f t="shared" si="81"/>
        <v/>
      </c>
      <c r="F1068" t="str">
        <f t="shared" si="83"/>
        <v>SALCONAJOMC1.16G(6)</v>
      </c>
      <c r="G1068" t="s">
        <v>3241</v>
      </c>
      <c r="H1068" s="2">
        <v>1.0355475444104335E-5</v>
      </c>
    </row>
    <row r="1069" spans="1:8" x14ac:dyDescent="0.3">
      <c r="A1069" t="s">
        <v>1394</v>
      </c>
      <c r="B1069" t="s">
        <v>1395</v>
      </c>
      <c r="C1069">
        <v>10</v>
      </c>
      <c r="D1069">
        <f t="shared" si="80"/>
        <v>10</v>
      </c>
      <c r="E1069" t="str">
        <f t="shared" si="81"/>
        <v/>
      </c>
      <c r="F1069" t="str">
        <f t="shared" si="83"/>
        <v>ARROZNILO500GR(10)</v>
      </c>
      <c r="G1069" t="s">
        <v>3057</v>
      </c>
      <c r="H1069" s="2">
        <v>1.0341500443505004E-5</v>
      </c>
    </row>
    <row r="1070" spans="1:8" x14ac:dyDescent="0.3">
      <c r="A1070" t="s">
        <v>669</v>
      </c>
      <c r="B1070" t="s">
        <v>670</v>
      </c>
      <c r="C1070">
        <v>12</v>
      </c>
      <c r="D1070">
        <f t="shared" si="80"/>
        <v>12</v>
      </c>
      <c r="E1070" t="str">
        <f t="shared" si="81"/>
        <v/>
      </c>
      <c r="F1070" t="str">
        <f t="shared" si="83"/>
        <v>SALSADECHILESRIRACHA28OZ740ML(12)</v>
      </c>
      <c r="G1070" t="s">
        <v>2695</v>
      </c>
      <c r="H1070" s="2">
        <v>1.0217944997029742E-5</v>
      </c>
    </row>
    <row r="1071" spans="1:8" x14ac:dyDescent="0.3">
      <c r="A1071" t="s">
        <v>183</v>
      </c>
      <c r="B1071" t="s">
        <v>184</v>
      </c>
      <c r="C1071">
        <v>24</v>
      </c>
      <c r="D1071">
        <f t="shared" si="80"/>
        <v>24</v>
      </c>
      <c r="E1071" t="str">
        <f t="shared" si="81"/>
        <v/>
      </c>
      <c r="F1071" t="str">
        <f t="shared" si="83"/>
        <v>-REFRESCOCOCACOLALIGHT355MLLATA(24</v>
      </c>
      <c r="G1071" t="s">
        <v>2452</v>
      </c>
      <c r="H1071" s="2">
        <v>1.0186295730966551E-5</v>
      </c>
    </row>
    <row r="1072" spans="1:8" x14ac:dyDescent="0.3">
      <c r="A1072" t="s">
        <v>1993</v>
      </c>
      <c r="B1072" t="s">
        <v>1994</v>
      </c>
      <c r="C1072">
        <v>96</v>
      </c>
      <c r="D1072">
        <f t="shared" si="80"/>
        <v>96</v>
      </c>
      <c r="E1072" t="str">
        <f t="shared" si="81"/>
        <v/>
      </c>
      <c r="F1072" t="str">
        <f t="shared" si="83"/>
        <v>MAIZENA160G(96)</v>
      </c>
      <c r="G1072" t="s">
        <v>3356</v>
      </c>
      <c r="H1072" s="2">
        <v>1.0165456393556367E-5</v>
      </c>
    </row>
    <row r="1073" spans="1:8" x14ac:dyDescent="0.3">
      <c r="A1073" t="s">
        <v>401</v>
      </c>
      <c r="B1073" t="s">
        <v>402</v>
      </c>
      <c r="C1073">
        <v>4</v>
      </c>
      <c r="D1073">
        <f t="shared" si="80"/>
        <v>4</v>
      </c>
      <c r="E1073" t="str">
        <f t="shared" si="81"/>
        <v/>
      </c>
      <c r="F1073" t="str">
        <f t="shared" si="83"/>
        <v>CEREZAC/TALLOMARASCHINODIANA2.7K(4)</v>
      </c>
      <c r="G1073" t="s">
        <v>2561</v>
      </c>
      <c r="H1073" s="2">
        <v>1.0130477934455104E-5</v>
      </c>
    </row>
    <row r="1074" spans="1:8" x14ac:dyDescent="0.3">
      <c r="A1074" t="s">
        <v>619</v>
      </c>
      <c r="B1074" t="s">
        <v>620</v>
      </c>
      <c r="C1074">
        <v>6</v>
      </c>
      <c r="D1074">
        <f t="shared" si="80"/>
        <v>6</v>
      </c>
      <c r="E1074" t="str">
        <f t="shared" si="81"/>
        <v/>
      </c>
      <c r="F1074" t="str">
        <f t="shared" si="83"/>
        <v>Q.CHEDDARP/NACHOSGEHL'SPOUCH3KG(6)</v>
      </c>
      <c r="G1074" t="s">
        <v>2670</v>
      </c>
      <c r="H1074" s="2">
        <v>1.0114610763987861E-5</v>
      </c>
    </row>
    <row r="1075" spans="1:8" x14ac:dyDescent="0.3">
      <c r="A1075" t="s">
        <v>177</v>
      </c>
      <c r="B1075" t="s">
        <v>178</v>
      </c>
      <c r="C1075">
        <v>1</v>
      </c>
      <c r="D1075" t="str">
        <f t="shared" si="80"/>
        <v/>
      </c>
      <c r="E1075" t="str">
        <f t="shared" si="81"/>
        <v/>
      </c>
      <c r="F1075" t="str">
        <f t="shared" si="83"/>
        <v>-CAFECLASICONESCAFE5KG</v>
      </c>
      <c r="G1075" t="s">
        <v>2449</v>
      </c>
      <c r="H1075" s="2">
        <v>9.9588320447409675E-6</v>
      </c>
    </row>
    <row r="1076" spans="1:8" x14ac:dyDescent="0.3">
      <c r="A1076" t="s">
        <v>1656</v>
      </c>
      <c r="B1076" t="s">
        <v>1657</v>
      </c>
      <c r="C1076">
        <v>12</v>
      </c>
      <c r="D1076">
        <f t="shared" si="80"/>
        <v>12</v>
      </c>
      <c r="E1076" t="str">
        <f t="shared" si="81"/>
        <v/>
      </c>
      <c r="F1076" t="str">
        <f t="shared" si="83"/>
        <v>#MERMELADAPIÑAMC450G(12)</v>
      </c>
      <c r="G1076" t="s">
        <v>3188</v>
      </c>
      <c r="H1076" s="2">
        <v>9.9510224855825184E-6</v>
      </c>
    </row>
    <row r="1077" spans="1:8" x14ac:dyDescent="0.3">
      <c r="A1077" t="s">
        <v>365</v>
      </c>
      <c r="B1077" t="s">
        <v>366</v>
      </c>
      <c r="C1077">
        <v>12</v>
      </c>
      <c r="D1077">
        <f t="shared" si="80"/>
        <v>12</v>
      </c>
      <c r="E1077" t="str">
        <f t="shared" si="81"/>
        <v/>
      </c>
      <c r="F1077" t="str">
        <f t="shared" si="83"/>
        <v>AJOGRANULADOPRAGNA700G(12)</v>
      </c>
      <c r="G1077" t="s">
        <v>2543</v>
      </c>
      <c r="H1077" s="2">
        <v>9.910886634592651E-6</v>
      </c>
    </row>
    <row r="1078" spans="1:8" x14ac:dyDescent="0.3">
      <c r="A1078" t="s">
        <v>677</v>
      </c>
      <c r="B1078" t="s">
        <v>678</v>
      </c>
      <c r="C1078">
        <v>24</v>
      </c>
      <c r="D1078">
        <f t="shared" si="80"/>
        <v>24</v>
      </c>
      <c r="E1078" t="str">
        <f t="shared" si="81"/>
        <v/>
      </c>
      <c r="F1078" t="str">
        <f t="shared" si="83"/>
        <v>-SARDINAENACEITEGUAYMEX425GR(24)</v>
      </c>
      <c r="G1078" t="s">
        <v>2699</v>
      </c>
      <c r="H1078" s="2">
        <v>9.9051516012623605E-6</v>
      </c>
    </row>
    <row r="1079" spans="1:8" x14ac:dyDescent="0.3">
      <c r="A1079" t="s">
        <v>1317</v>
      </c>
      <c r="B1079" t="s">
        <v>1318</v>
      </c>
      <c r="C1079">
        <v>12</v>
      </c>
      <c r="D1079">
        <f t="shared" si="80"/>
        <v>12</v>
      </c>
      <c r="E1079" t="str">
        <f t="shared" si="81"/>
        <v/>
      </c>
      <c r="F1079" t="str">
        <f t="shared" si="83"/>
        <v>SALSAA1STEAKHOUSE10OZ.283ML(12)</v>
      </c>
      <c r="G1079" t="s">
        <v>3019</v>
      </c>
      <c r="H1079" s="2">
        <v>9.8352354953227661E-6</v>
      </c>
    </row>
    <row r="1080" spans="1:8" x14ac:dyDescent="0.3">
      <c r="A1080" t="s">
        <v>2235</v>
      </c>
      <c r="B1080" t="s">
        <v>2236</v>
      </c>
      <c r="C1080">
        <v>12</v>
      </c>
      <c r="D1080">
        <f t="shared" si="80"/>
        <v>12</v>
      </c>
      <c r="E1080" t="str">
        <f t="shared" si="81"/>
        <v/>
      </c>
      <c r="F1080" t="str">
        <f t="shared" si="83"/>
        <v>SUAVITELECOPACKAZUL850ML(12)</v>
      </c>
      <c r="G1080" t="s">
        <v>3477</v>
      </c>
      <c r="H1080" s="2">
        <v>9.7196951227206482E-6</v>
      </c>
    </row>
    <row r="1081" spans="1:8" x14ac:dyDescent="0.3">
      <c r="A1081" t="s">
        <v>517</v>
      </c>
      <c r="B1081" t="s">
        <v>518</v>
      </c>
      <c r="C1081">
        <v>12</v>
      </c>
      <c r="D1081">
        <f t="shared" si="80"/>
        <v>12</v>
      </c>
      <c r="E1081" t="str">
        <f t="shared" si="81"/>
        <v/>
      </c>
      <c r="F1081" t="str">
        <f t="shared" si="83"/>
        <v>LECHEDESLACTOSADAGRANJA1L(12)</v>
      </c>
      <c r="G1081" t="s">
        <v>2619</v>
      </c>
      <c r="H1081" s="2">
        <v>9.595398347676829E-6</v>
      </c>
    </row>
    <row r="1082" spans="1:8" x14ac:dyDescent="0.3">
      <c r="A1082" t="s">
        <v>1045</v>
      </c>
      <c r="B1082" t="s">
        <v>1046</v>
      </c>
      <c r="C1082">
        <v>20</v>
      </c>
      <c r="D1082">
        <f t="shared" si="80"/>
        <v>20</v>
      </c>
      <c r="E1082" t="str">
        <f t="shared" si="81"/>
        <v/>
      </c>
      <c r="F1082" t="str">
        <f t="shared" si="83"/>
        <v>PINOL250ML.REGULAR(20)</v>
      </c>
      <c r="G1082" t="s">
        <v>2883</v>
      </c>
      <c r="H1082" s="2">
        <v>9.5556121745073269E-6</v>
      </c>
    </row>
    <row r="1083" spans="1:8" x14ac:dyDescent="0.3">
      <c r="A1083" t="s">
        <v>533</v>
      </c>
      <c r="B1083" t="s">
        <v>534</v>
      </c>
      <c r="C1083">
        <v>1</v>
      </c>
      <c r="D1083" t="str">
        <f t="shared" si="80"/>
        <v/>
      </c>
      <c r="E1083" t="str">
        <f t="shared" si="81"/>
        <v/>
      </c>
      <c r="F1083" t="str">
        <f t="shared" si="83"/>
        <v>MERMELADAZARZAMORABONLATTICUBETA5KG</v>
      </c>
      <c r="G1083" t="s">
        <v>2627</v>
      </c>
      <c r="H1083" s="2">
        <v>9.5448021005143142E-6</v>
      </c>
    </row>
    <row r="1084" spans="1:8" x14ac:dyDescent="0.3">
      <c r="A1084" t="s">
        <v>813</v>
      </c>
      <c r="B1084" t="s">
        <v>814</v>
      </c>
      <c r="C1084">
        <v>15</v>
      </c>
      <c r="D1084">
        <f t="shared" si="80"/>
        <v>12</v>
      </c>
      <c r="E1084" t="str">
        <f t="shared" si="81"/>
        <v/>
      </c>
      <c r="F1084" t="str">
        <f t="shared" si="83"/>
        <v>ACIDOMURIATEXALAMO1L(12)</v>
      </c>
      <c r="G1084" t="s">
        <v>2767</v>
      </c>
      <c r="H1084" s="2">
        <v>9.473652906286545E-6</v>
      </c>
    </row>
    <row r="1085" spans="1:8" x14ac:dyDescent="0.3">
      <c r="A1085" t="s">
        <v>887</v>
      </c>
      <c r="B1085" t="s">
        <v>888</v>
      </c>
      <c r="C1085">
        <v>25</v>
      </c>
      <c r="D1085">
        <f t="shared" si="80"/>
        <v>25</v>
      </c>
      <c r="E1085" t="str">
        <f t="shared" si="81"/>
        <v/>
      </c>
      <c r="F1085" t="str">
        <f>SUBSTITUTE(UPPER(CLEAN(G1085))," ","")</f>
        <v>BOLSAP/BOLLOREYMA10X201KG(25)</v>
      </c>
      <c r="G1085" t="s">
        <v>2804</v>
      </c>
      <c r="H1085" s="2">
        <v>9.470118053193771E-6</v>
      </c>
    </row>
    <row r="1086" spans="1:8" x14ac:dyDescent="0.3">
      <c r="A1086" t="s">
        <v>925</v>
      </c>
      <c r="B1086" t="s">
        <v>926</v>
      </c>
      <c r="C1086">
        <v>24</v>
      </c>
      <c r="D1086">
        <f t="shared" si="80"/>
        <v>24</v>
      </c>
      <c r="E1086" t="str">
        <f t="shared" si="81"/>
        <v/>
      </c>
      <c r="F1086" t="str">
        <f t="shared" ref="F1086:F1096" si="84">SUBSTITUTE(UPPER(CLEAN(B1086))," ","")</f>
        <v>PALILLOMULTICHEFC/12/250PZS(24)</v>
      </c>
      <c r="G1086" t="s">
        <v>2823</v>
      </c>
      <c r="H1086" s="2">
        <v>9.3774720198087952E-6</v>
      </c>
    </row>
    <row r="1087" spans="1:8" x14ac:dyDescent="0.3">
      <c r="A1087" t="s">
        <v>1917</v>
      </c>
      <c r="B1087" t="s">
        <v>1918</v>
      </c>
      <c r="C1087">
        <v>1</v>
      </c>
      <c r="D1087" t="str">
        <f t="shared" si="80"/>
        <v/>
      </c>
      <c r="E1087" t="str">
        <f t="shared" si="81"/>
        <v/>
      </c>
      <c r="F1087" t="str">
        <f t="shared" si="84"/>
        <v>SOPAKNORRESTRELLITAS2/6/95GR</v>
      </c>
      <c r="G1087" t="s">
        <v>3318</v>
      </c>
      <c r="H1087" s="2">
        <v>9.3462337831749968E-6</v>
      </c>
    </row>
    <row r="1088" spans="1:8" x14ac:dyDescent="0.3">
      <c r="A1088" t="s">
        <v>43</v>
      </c>
      <c r="B1088" t="s">
        <v>44</v>
      </c>
      <c r="C1088">
        <v>10</v>
      </c>
      <c r="D1088">
        <f t="shared" si="80"/>
        <v>10</v>
      </c>
      <c r="E1088" t="str">
        <f t="shared" si="81"/>
        <v/>
      </c>
      <c r="F1088" t="str">
        <f t="shared" si="84"/>
        <v>-MANGAMERMELADAPIÑA1K(10)</v>
      </c>
      <c r="G1088" t="s">
        <v>2382</v>
      </c>
      <c r="H1088" s="2">
        <v>9.2318031900322383E-6</v>
      </c>
    </row>
    <row r="1089" spans="1:8" x14ac:dyDescent="0.3">
      <c r="A1089" t="s">
        <v>799</v>
      </c>
      <c r="B1089" t="s">
        <v>800</v>
      </c>
      <c r="C1089">
        <v>1</v>
      </c>
      <c r="D1089" t="str">
        <f t="shared" si="80"/>
        <v/>
      </c>
      <c r="E1089" t="str">
        <f t="shared" si="81"/>
        <v/>
      </c>
      <c r="F1089" t="str">
        <f t="shared" si="84"/>
        <v>CUCHILLO#3MEDIANOGARDUÑOC/2/500PZS</v>
      </c>
      <c r="G1089" t="s">
        <v>2760</v>
      </c>
      <c r="H1089" s="2">
        <v>9.2000717180831697E-6</v>
      </c>
    </row>
    <row r="1090" spans="1:8" x14ac:dyDescent="0.3">
      <c r="A1090" t="s">
        <v>421</v>
      </c>
      <c r="B1090" t="s">
        <v>422</v>
      </c>
      <c r="C1090">
        <v>50</v>
      </c>
      <c r="D1090">
        <f t="shared" ref="D1090:D1153" si="85">IFERROR(VALUE(IFERROR(
    MID(G1090,FIND("(",G1090)+1,FIND(")",G1090)-FIND("(",G1090)-1),
    IFERROR(
        MID(G1090,FIND("(",G1090)+1,LEN(G1090)-FIND("(",G1090)),
        ""
    )
)),"")</f>
        <v>50</v>
      </c>
      <c r="E1090" t="str">
        <f t="shared" ref="E1090:E1153" si="86">IFERROR(VALUE(MID(SUBSTITUTE(G1090," ",""),
FIND("/",SUBSTITUTE(G1090," ",""))+1,
MIN(IFERROR(FIND("PZS",SUBSTITUTE(G1090," ","")),999),
    IFERROR(FIND("PZA",SUBSTITUTE(G1090," ","")),999))
-FIND("/",SUBSTITUTE(G1090," ",""))-1)),"")</f>
        <v/>
      </c>
      <c r="F1090" t="str">
        <f t="shared" si="84"/>
        <v>GELATINAUVAD´GARI120G(50)</v>
      </c>
      <c r="G1090" t="s">
        <v>2571</v>
      </c>
      <c r="H1090" s="2">
        <v>9.1541186278771315E-6</v>
      </c>
    </row>
    <row r="1091" spans="1:8" x14ac:dyDescent="0.3">
      <c r="A1091" t="s">
        <v>1674</v>
      </c>
      <c r="B1091" t="s">
        <v>1675</v>
      </c>
      <c r="C1091">
        <v>12</v>
      </c>
      <c r="D1091">
        <f t="shared" si="85"/>
        <v>12</v>
      </c>
      <c r="E1091" t="str">
        <f t="shared" si="86"/>
        <v/>
      </c>
      <c r="F1091" t="str">
        <f t="shared" si="84"/>
        <v>PIMIENTACONLIMONMC75G(12)</v>
      </c>
      <c r="G1091" t="s">
        <v>3197</v>
      </c>
      <c r="H1091" s="2">
        <v>9.1241545824744482E-6</v>
      </c>
    </row>
    <row r="1092" spans="1:8" x14ac:dyDescent="0.3">
      <c r="A1092" t="s">
        <v>1967</v>
      </c>
      <c r="B1092" t="s">
        <v>1968</v>
      </c>
      <c r="C1092">
        <v>12</v>
      </c>
      <c r="D1092">
        <f t="shared" si="85"/>
        <v>12</v>
      </c>
      <c r="E1092" t="str">
        <f t="shared" si="86"/>
        <v/>
      </c>
      <c r="F1092" t="str">
        <f t="shared" si="84"/>
        <v>-KNORRTOMATISIMOC/24CUBOS(12)</v>
      </c>
      <c r="G1092" t="s">
        <v>3343</v>
      </c>
      <c r="H1092" s="2">
        <v>9.0866686985138902E-6</v>
      </c>
    </row>
    <row r="1093" spans="1:8" x14ac:dyDescent="0.3">
      <c r="A1093" t="s">
        <v>1817</v>
      </c>
      <c r="B1093" t="s">
        <v>1818</v>
      </c>
      <c r="C1093">
        <v>1</v>
      </c>
      <c r="D1093" t="str">
        <f t="shared" si="85"/>
        <v/>
      </c>
      <c r="E1093" t="str">
        <f t="shared" si="86"/>
        <v/>
      </c>
      <c r="F1093" t="str">
        <f t="shared" si="84"/>
        <v>ADEREZOMAYONESAMC13KG</v>
      </c>
      <c r="G1093" t="s">
        <v>3268</v>
      </c>
      <c r="H1093" s="2">
        <v>8.969375981966989E-6</v>
      </c>
    </row>
    <row r="1094" spans="1:8" x14ac:dyDescent="0.3">
      <c r="A1094" t="s">
        <v>685</v>
      </c>
      <c r="B1094" t="s">
        <v>686</v>
      </c>
      <c r="C1094">
        <v>12</v>
      </c>
      <c r="D1094">
        <f t="shared" si="85"/>
        <v>12</v>
      </c>
      <c r="E1094" t="str">
        <f t="shared" si="86"/>
        <v/>
      </c>
      <c r="F1094" t="str">
        <f t="shared" si="84"/>
        <v>-SAZONADORAJOYHIERBASPRAGNA734G(12</v>
      </c>
      <c r="G1094" t="s">
        <v>2703</v>
      </c>
      <c r="H1094" s="2">
        <v>8.9403011187073672E-6</v>
      </c>
    </row>
    <row r="1095" spans="1:8" x14ac:dyDescent="0.3">
      <c r="A1095" t="s">
        <v>189</v>
      </c>
      <c r="B1095" t="s">
        <v>190</v>
      </c>
      <c r="C1095">
        <v>16</v>
      </c>
      <c r="D1095">
        <f t="shared" si="85"/>
        <v>16</v>
      </c>
      <c r="E1095" t="str">
        <f t="shared" si="86"/>
        <v/>
      </c>
      <c r="F1095" t="str">
        <f t="shared" si="84"/>
        <v>CEREALCORNFLAKESKELLOGG'S560G(16)</v>
      </c>
      <c r="G1095" t="s">
        <v>2455</v>
      </c>
      <c r="H1095" s="2">
        <v>8.9249286180481031E-6</v>
      </c>
    </row>
    <row r="1096" spans="1:8" x14ac:dyDescent="0.3">
      <c r="A1096" t="s">
        <v>1538</v>
      </c>
      <c r="B1096" t="s">
        <v>1539</v>
      </c>
      <c r="C1096">
        <v>14</v>
      </c>
      <c r="D1096">
        <f t="shared" si="85"/>
        <v>14</v>
      </c>
      <c r="E1096" t="str">
        <f t="shared" si="86"/>
        <v/>
      </c>
      <c r="F1096" t="str">
        <f t="shared" si="84"/>
        <v>GRANOLA3MINUTOS370GR(14)</v>
      </c>
      <c r="G1096" t="s">
        <v>3129</v>
      </c>
      <c r="H1096" s="2">
        <v>8.8500390560128624E-6</v>
      </c>
    </row>
    <row r="1097" spans="1:8" x14ac:dyDescent="0.3">
      <c r="A1097" t="s">
        <v>869</v>
      </c>
      <c r="B1097" t="s">
        <v>870</v>
      </c>
      <c r="C1097">
        <v>36</v>
      </c>
      <c r="D1097">
        <f t="shared" si="85"/>
        <v>36</v>
      </c>
      <c r="E1097" t="str">
        <f t="shared" si="86"/>
        <v/>
      </c>
      <c r="F1097" t="str">
        <f>SUBSTITUTE(UPPER(CLEAN(G1097))," ","")</f>
        <v>PAÑOMICROFIBRAAMARILLO40.6X40.6(36)</v>
      </c>
      <c r="G1097" t="s">
        <v>2795</v>
      </c>
      <c r="H1097" s="2">
        <v>8.7960297889907425E-6</v>
      </c>
    </row>
    <row r="1098" spans="1:8" x14ac:dyDescent="0.3">
      <c r="A1098" t="s">
        <v>535</v>
      </c>
      <c r="B1098" t="s">
        <v>536</v>
      </c>
      <c r="C1098">
        <v>1</v>
      </c>
      <c r="D1098" t="str">
        <f t="shared" si="85"/>
        <v/>
      </c>
      <c r="E1098" t="str">
        <f t="shared" si="86"/>
        <v/>
      </c>
      <c r="F1098" t="str">
        <f>SUBSTITUTE(UPPER(CLEAN(B1098))," ","")</f>
        <v>MERMELADADEPIÑABONLATTICUBETA5KG</v>
      </c>
      <c r="G1098" t="s">
        <v>2628</v>
      </c>
      <c r="H1098" s="2">
        <v>8.7285798596275011E-6</v>
      </c>
    </row>
    <row r="1099" spans="1:8" x14ac:dyDescent="0.3">
      <c r="A1099" t="s">
        <v>187</v>
      </c>
      <c r="B1099" t="s">
        <v>188</v>
      </c>
      <c r="D1099">
        <f t="shared" si="85"/>
        <v>6</v>
      </c>
      <c r="E1099" t="str">
        <f t="shared" si="86"/>
        <v/>
      </c>
      <c r="F1099" t="str">
        <f>SUBSTITUTE(UPPER(CLEAN(B1099))," ","")</f>
        <v>AGUAMINTOPOCHICOAGUAMINERAL1.5L(6</v>
      </c>
      <c r="G1099" t="s">
        <v>2454</v>
      </c>
      <c r="H1099" s="2">
        <v>8.6266856640812021E-6</v>
      </c>
    </row>
    <row r="1100" spans="1:8" x14ac:dyDescent="0.3">
      <c r="A1100" t="s">
        <v>2095</v>
      </c>
      <c r="B1100" t="s">
        <v>2096</v>
      </c>
      <c r="C1100">
        <v>40</v>
      </c>
      <c r="D1100">
        <f t="shared" si="85"/>
        <v>40</v>
      </c>
      <c r="E1100" t="str">
        <f t="shared" si="86"/>
        <v/>
      </c>
      <c r="F1100" t="str">
        <f>SUBSTITUTE(UPPER(CLEAN(B1100))," ","")</f>
        <v>GELATINAMANGOJELLO25G(40)</v>
      </c>
      <c r="G1100" t="s">
        <v>3407</v>
      </c>
      <c r="H1100" s="2">
        <v>8.6185061784362981E-6</v>
      </c>
    </row>
    <row r="1101" spans="1:8" x14ac:dyDescent="0.3">
      <c r="A1101" t="s">
        <v>1600</v>
      </c>
      <c r="B1101" t="s">
        <v>1601</v>
      </c>
      <c r="C1101">
        <v>12</v>
      </c>
      <c r="D1101">
        <f t="shared" si="85"/>
        <v>12</v>
      </c>
      <c r="E1101" t="str">
        <f t="shared" si="86"/>
        <v/>
      </c>
      <c r="F1101" t="str">
        <f>SUBSTITUTE(UPPER(CLEAN(B1101))," ","")</f>
        <v>CHILENACHOSCOSTEÑA800G(12)</v>
      </c>
      <c r="G1101" t="s">
        <v>3160</v>
      </c>
      <c r="H1101" s="2">
        <v>8.6149713253435258E-6</v>
      </c>
    </row>
    <row r="1102" spans="1:8" x14ac:dyDescent="0.3">
      <c r="A1102" t="s">
        <v>889</v>
      </c>
      <c r="B1102" t="s">
        <v>890</v>
      </c>
      <c r="C1102">
        <v>25</v>
      </c>
      <c r="D1102">
        <f t="shared" si="85"/>
        <v>25</v>
      </c>
      <c r="E1102" t="str">
        <f t="shared" si="86"/>
        <v/>
      </c>
      <c r="F1102" t="str">
        <f>SUBSTITUTE(UPPER(CLEAN(G1102))," ","")</f>
        <v>BOLSAP/BASURAANGUIPLAST50X70(25)</v>
      </c>
      <c r="G1102" t="s">
        <v>2805</v>
      </c>
      <c r="H1102" s="2">
        <v>8.6042434572363935E-6</v>
      </c>
    </row>
    <row r="1103" spans="1:8" x14ac:dyDescent="0.3">
      <c r="A1103" t="s">
        <v>2049</v>
      </c>
      <c r="B1103" t="s">
        <v>2050</v>
      </c>
      <c r="C1103">
        <v>6</v>
      </c>
      <c r="D1103">
        <f t="shared" si="85"/>
        <v>6</v>
      </c>
      <c r="E1103" t="str">
        <f t="shared" si="86"/>
        <v/>
      </c>
      <c r="F1103" t="str">
        <f>SUBSTITUTE(UPPER(CLEAN(B1103))," ","")</f>
        <v>-ADEREZOMILISLASCLEMENTE710GR(6)</v>
      </c>
      <c r="G1103" t="s">
        <v>3384</v>
      </c>
      <c r="H1103" s="2">
        <v>8.5760468383800954E-6</v>
      </c>
    </row>
    <row r="1104" spans="1:8" x14ac:dyDescent="0.3">
      <c r="A1104" t="s">
        <v>1436</v>
      </c>
      <c r="B1104" t="s">
        <v>1437</v>
      </c>
      <c r="C1104">
        <v>1</v>
      </c>
      <c r="D1104" t="str">
        <f t="shared" si="85"/>
        <v/>
      </c>
      <c r="E1104" t="str">
        <f t="shared" si="86"/>
        <v/>
      </c>
      <c r="F1104" t="str">
        <f>SUBSTITUTE(UPPER(CLEAN(B1104))," ","")</f>
        <v>PELICULAPVCREYNOLDSC/CORT600MX45CM</v>
      </c>
      <c r="G1104" t="s">
        <v>3078</v>
      </c>
      <c r="H1104" s="2">
        <v>8.5074049236716177E-6</v>
      </c>
    </row>
    <row r="1105" spans="1:8" x14ac:dyDescent="0.3">
      <c r="A1105" t="s">
        <v>1295</v>
      </c>
      <c r="B1105" t="s">
        <v>1296</v>
      </c>
      <c r="C1105">
        <v>2</v>
      </c>
      <c r="D1105" t="str">
        <f t="shared" si="85"/>
        <v/>
      </c>
      <c r="E1105" t="str">
        <f t="shared" si="86"/>
        <v/>
      </c>
      <c r="F1105" t="str">
        <f>SUBSTITUTE(UPPER(CLEAN(B1105))," ","")</f>
        <v>-SALSAS.MAGGI1.9L+A.VERDEVALE1KG</v>
      </c>
      <c r="G1105" t="s">
        <v>3008</v>
      </c>
      <c r="H1105" s="2">
        <v>8.4271145248263009E-6</v>
      </c>
    </row>
    <row r="1106" spans="1:8" x14ac:dyDescent="0.3">
      <c r="A1106" t="s">
        <v>609</v>
      </c>
      <c r="B1106" t="s">
        <v>610</v>
      </c>
      <c r="C1106">
        <v>24</v>
      </c>
      <c r="D1106">
        <f t="shared" si="85"/>
        <v>24</v>
      </c>
      <c r="E1106" t="str">
        <f t="shared" si="86"/>
        <v/>
      </c>
      <c r="F1106" t="str">
        <f>SUBSTITUTE(UPPER(CLEAN(B1106))," ","")</f>
        <v>PUREDEPAPAVERDEVALLE160GR(24)</v>
      </c>
      <c r="G1106" t="s">
        <v>2665</v>
      </c>
      <c r="H1106" s="2">
        <v>8.3894394774360869E-6</v>
      </c>
    </row>
    <row r="1107" spans="1:8" x14ac:dyDescent="0.3">
      <c r="A1107" t="s">
        <v>855</v>
      </c>
      <c r="B1107" t="s">
        <v>856</v>
      </c>
      <c r="C1107">
        <v>72</v>
      </c>
      <c r="D1107">
        <f t="shared" si="85"/>
        <v>72</v>
      </c>
      <c r="E1107" t="str">
        <f t="shared" si="86"/>
        <v/>
      </c>
      <c r="F1107" t="str">
        <f>SUBSTITUTE(UPPER(CLEAN(G1107))," ","")</f>
        <v>-FIBRABLANCAP66S.B.146X92MM(72)</v>
      </c>
      <c r="G1107" t="s">
        <v>2788</v>
      </c>
      <c r="H1107" s="2">
        <v>8.3138903118137372E-6</v>
      </c>
    </row>
    <row r="1108" spans="1:8" x14ac:dyDescent="0.3">
      <c r="A1108" t="s">
        <v>1885</v>
      </c>
      <c r="B1108" t="s">
        <v>1886</v>
      </c>
      <c r="C1108">
        <v>4</v>
      </c>
      <c r="D1108">
        <f t="shared" si="85"/>
        <v>4</v>
      </c>
      <c r="E1108" t="str">
        <f t="shared" si="86"/>
        <v/>
      </c>
      <c r="F1108" t="str">
        <f t="shared" ref="F1108:F1114" si="87">SUBSTITUTE(UPPER(CLEAN(B1108))," ","")</f>
        <v>-MAYONESABOLSAC/VALVHELLMANNS3K(4)</v>
      </c>
      <c r="G1108" t="s">
        <v>3302</v>
      </c>
      <c r="H1108" s="2">
        <v>8.2735291783475175E-6</v>
      </c>
    </row>
    <row r="1109" spans="1:8" x14ac:dyDescent="0.3">
      <c r="A1109" t="s">
        <v>2271</v>
      </c>
      <c r="B1109" t="s">
        <v>2272</v>
      </c>
      <c r="C1109">
        <v>12</v>
      </c>
      <c r="D1109">
        <f t="shared" si="85"/>
        <v>12</v>
      </c>
      <c r="E1109" t="str">
        <f t="shared" si="86"/>
        <v/>
      </c>
      <c r="F1109" t="str">
        <f t="shared" si="87"/>
        <v>VELROSITA1LTO(12)</v>
      </c>
      <c r="G1109" t="s">
        <v>3495</v>
      </c>
      <c r="H1109" s="2">
        <v>8.1837603509682847E-6</v>
      </c>
    </row>
    <row r="1110" spans="1:8" x14ac:dyDescent="0.3">
      <c r="A1110" t="s">
        <v>1706</v>
      </c>
      <c r="B1110" t="s">
        <v>1707</v>
      </c>
      <c r="C1110">
        <v>6</v>
      </c>
      <c r="D1110">
        <f t="shared" si="85"/>
        <v>6</v>
      </c>
      <c r="E1110" t="str">
        <f t="shared" si="86"/>
        <v/>
      </c>
      <c r="F1110" t="str">
        <f t="shared" si="87"/>
        <v>-PIMIENTOROJOTRIT.GOURMETLAND400G(6)</v>
      </c>
      <c r="G1110" t="s">
        <v>3213</v>
      </c>
      <c r="H1110" s="2">
        <v>8.1394513784798164E-6</v>
      </c>
    </row>
    <row r="1111" spans="1:8" x14ac:dyDescent="0.3">
      <c r="A1111" t="s">
        <v>2005</v>
      </c>
      <c r="B1111" t="s">
        <v>2006</v>
      </c>
      <c r="C1111">
        <v>1</v>
      </c>
      <c r="D1111" t="str">
        <f t="shared" si="85"/>
        <v/>
      </c>
      <c r="E1111" t="str">
        <f t="shared" si="86"/>
        <v/>
      </c>
      <c r="F1111" t="str">
        <f t="shared" si="87"/>
        <v>PASTAFIDEO2BARILLAC/40/200GR*</v>
      </c>
      <c r="G1111" t="s">
        <v>3362</v>
      </c>
      <c r="H1111" s="2">
        <v>8.1159404951185886E-6</v>
      </c>
    </row>
    <row r="1112" spans="1:8" x14ac:dyDescent="0.3">
      <c r="A1112" t="s">
        <v>1983</v>
      </c>
      <c r="B1112" t="s">
        <v>1984</v>
      </c>
      <c r="C1112">
        <v>105</v>
      </c>
      <c r="D1112">
        <f t="shared" si="85"/>
        <v>105</v>
      </c>
      <c r="E1112" t="str">
        <f t="shared" si="86"/>
        <v/>
      </c>
      <c r="F1112" t="str">
        <f t="shared" si="87"/>
        <v>-KNORRCALDODEPOLLOC/8CUBOS(105)</v>
      </c>
      <c r="G1112" t="s">
        <v>3351</v>
      </c>
      <c r="H1112" s="2">
        <v>8.0596775970987175E-6</v>
      </c>
    </row>
    <row r="1113" spans="1:8" x14ac:dyDescent="0.3">
      <c r="A1113" t="s">
        <v>303</v>
      </c>
      <c r="B1113" t="s">
        <v>304</v>
      </c>
      <c r="C1113">
        <v>12</v>
      </c>
      <c r="D1113">
        <f t="shared" si="85"/>
        <v>12</v>
      </c>
      <c r="E1113" t="str">
        <f t="shared" si="86"/>
        <v/>
      </c>
      <c r="F1113" t="str">
        <f t="shared" si="87"/>
        <v>TANGJAMAICARUBIKC/10/13G(12)</v>
      </c>
      <c r="G1113" t="s">
        <v>2512</v>
      </c>
      <c r="H1113" s="2">
        <v>7.9318146943904908E-6</v>
      </c>
    </row>
    <row r="1114" spans="1:8" x14ac:dyDescent="0.3">
      <c r="A1114" t="s">
        <v>1339</v>
      </c>
      <c r="B1114" t="s">
        <v>1340</v>
      </c>
      <c r="C1114">
        <v>12</v>
      </c>
      <c r="D1114">
        <f t="shared" si="85"/>
        <v>12</v>
      </c>
      <c r="E1114" t="str">
        <f t="shared" si="86"/>
        <v/>
      </c>
      <c r="F1114" t="str">
        <f t="shared" si="87"/>
        <v>-BARRAAVENA/MIELNATVALLEY210G/10(12</v>
      </c>
      <c r="G1114" t="s">
        <v>3030</v>
      </c>
      <c r="H1114" s="2">
        <v>7.8897098971811836E-6</v>
      </c>
    </row>
    <row r="1115" spans="1:8" x14ac:dyDescent="0.3">
      <c r="A1115" t="s">
        <v>877</v>
      </c>
      <c r="B1115" t="s">
        <v>878</v>
      </c>
      <c r="C1115">
        <v>25</v>
      </c>
      <c r="D1115">
        <f t="shared" si="85"/>
        <v>25</v>
      </c>
      <c r="E1115" t="str">
        <f t="shared" si="86"/>
        <v/>
      </c>
      <c r="F1115" t="str">
        <f>SUBSTITUTE(UPPER(CLEAN(G1115))," ","")</f>
        <v>BOLSAPLASTICO40X60CALIB.300C/1KG(25)</v>
      </c>
      <c r="G1115" t="s">
        <v>2799</v>
      </c>
      <c r="H1115" s="2">
        <v>7.8806672497345562E-6</v>
      </c>
    </row>
    <row r="1116" spans="1:8" x14ac:dyDescent="0.3">
      <c r="A1116" t="s">
        <v>811</v>
      </c>
      <c r="B1116" t="s">
        <v>812</v>
      </c>
      <c r="C1116">
        <v>1</v>
      </c>
      <c r="D1116" t="str">
        <f t="shared" si="85"/>
        <v/>
      </c>
      <c r="E1116" t="str">
        <f t="shared" si="86"/>
        <v/>
      </c>
      <c r="F1116" t="str">
        <f>SUBSTITUTE(UPPER(CLEAN(B1116))," ","")</f>
        <v>DESENGRASANTEVARSSETGALON4LTS</v>
      </c>
      <c r="G1116" t="s">
        <v>2766</v>
      </c>
      <c r="H1116" s="2">
        <v>7.8181907764669578E-6</v>
      </c>
    </row>
    <row r="1117" spans="1:8" x14ac:dyDescent="0.3">
      <c r="A1117" t="s">
        <v>879</v>
      </c>
      <c r="B1117" t="s">
        <v>880</v>
      </c>
      <c r="C1117">
        <v>25</v>
      </c>
      <c r="D1117">
        <f t="shared" si="85"/>
        <v>25</v>
      </c>
      <c r="E1117" t="str">
        <f t="shared" si="86"/>
        <v/>
      </c>
      <c r="F1117" t="str">
        <f>SUBSTITUTE(UPPER(CLEAN(G1117))," ","")</f>
        <v>BOLSAPLASTICO40X60KG(25)</v>
      </c>
      <c r="G1117" t="s">
        <v>2800</v>
      </c>
      <c r="H1117" s="2">
        <v>7.698622315456799E-6</v>
      </c>
    </row>
    <row r="1118" spans="1:8" x14ac:dyDescent="0.3">
      <c r="A1118" t="s">
        <v>1335</v>
      </c>
      <c r="B1118" t="s">
        <v>1336</v>
      </c>
      <c r="C1118">
        <v>24</v>
      </c>
      <c r="D1118">
        <f t="shared" si="85"/>
        <v>24</v>
      </c>
      <c r="E1118" t="str">
        <f t="shared" si="86"/>
        <v/>
      </c>
      <c r="F1118" t="str">
        <f>SUBSTITUTE(UPPER(CLEAN(B1118))," ","")</f>
        <v>MOLEDOÑAMARIAVERDE230GR(24)</v>
      </c>
      <c r="G1118" t="s">
        <v>3028</v>
      </c>
      <c r="H1118" s="2">
        <v>7.6508195928185002E-6</v>
      </c>
    </row>
    <row r="1119" spans="1:8" x14ac:dyDescent="0.3">
      <c r="A1119" t="s">
        <v>115</v>
      </c>
      <c r="B1119" t="s">
        <v>116</v>
      </c>
      <c r="C1119">
        <v>1</v>
      </c>
      <c r="D1119" t="str">
        <f t="shared" si="85"/>
        <v/>
      </c>
      <c r="E1119" t="str">
        <f t="shared" si="86"/>
        <v/>
      </c>
      <c r="F1119" t="str">
        <f>SUBSTITUTE(UPPER(CLEAN(G1119))," ","")</f>
        <v>ARROZDIAMANTEC/20/450GBOLSA</v>
      </c>
      <c r="G1119" t="s">
        <v>2418</v>
      </c>
      <c r="H1119" s="2">
        <v>7.577080913185559E-6</v>
      </c>
    </row>
    <row r="1120" spans="1:8" x14ac:dyDescent="0.3">
      <c r="A1120" t="s">
        <v>801</v>
      </c>
      <c r="B1120" t="s">
        <v>802</v>
      </c>
      <c r="C1120">
        <v>40</v>
      </c>
      <c r="D1120">
        <f t="shared" si="85"/>
        <v>40</v>
      </c>
      <c r="E1120" t="str">
        <f t="shared" si="86"/>
        <v/>
      </c>
      <c r="F1120" t="str">
        <f t="shared" ref="F1120:F1128" si="88">SUBSTITUTE(UPPER(CLEAN(B1120))," ","")</f>
        <v>VASOTERMICO10OZ.DART10J10C/25(40)</v>
      </c>
      <c r="G1120" t="s">
        <v>2761</v>
      </c>
      <c r="H1120" s="2">
        <v>7.3644964923039696E-6</v>
      </c>
    </row>
    <row r="1121" spans="1:8" x14ac:dyDescent="0.3">
      <c r="A1121" t="s">
        <v>1155</v>
      </c>
      <c r="B1121" t="s">
        <v>1156</v>
      </c>
      <c r="C1121">
        <v>21</v>
      </c>
      <c r="D1121">
        <f t="shared" si="85"/>
        <v>21</v>
      </c>
      <c r="E1121" t="str">
        <f t="shared" si="86"/>
        <v/>
      </c>
      <c r="F1121" t="str">
        <f t="shared" si="88"/>
        <v>CEREALZUCARITASKELLOGG'S380G(21)</v>
      </c>
      <c r="G1121" t="s">
        <v>2938</v>
      </c>
      <c r="H1121" s="2">
        <v>7.3501549207391374E-6</v>
      </c>
    </row>
    <row r="1122" spans="1:8" x14ac:dyDescent="0.3">
      <c r="A1122" t="s">
        <v>633</v>
      </c>
      <c r="B1122" t="s">
        <v>634</v>
      </c>
      <c r="C1122">
        <v>8</v>
      </c>
      <c r="D1122">
        <f t="shared" si="85"/>
        <v>8</v>
      </c>
      <c r="E1122" t="str">
        <f t="shared" si="86"/>
        <v/>
      </c>
      <c r="F1122" t="str">
        <f t="shared" si="88"/>
        <v>SALMARDECORTESGRANULARPRAGNA1KG(8)</v>
      </c>
      <c r="G1122" t="s">
        <v>2677</v>
      </c>
      <c r="H1122" s="2">
        <v>7.324585534709997E-6</v>
      </c>
    </row>
    <row r="1123" spans="1:8" x14ac:dyDescent="0.3">
      <c r="A1123" t="s">
        <v>1855</v>
      </c>
      <c r="B1123" t="s">
        <v>1856</v>
      </c>
      <c r="C1123">
        <v>12</v>
      </c>
      <c r="D1123">
        <f t="shared" si="85"/>
        <v>12</v>
      </c>
      <c r="E1123" t="str">
        <f t="shared" si="86"/>
        <v/>
      </c>
      <c r="F1123" t="str">
        <f t="shared" si="88"/>
        <v>-PEPINILLOREBSANMIGUEL780GR(12)</v>
      </c>
      <c r="G1123" t="s">
        <v>3287</v>
      </c>
      <c r="H1123" s="2">
        <v>7.2481340608430684E-6</v>
      </c>
    </row>
    <row r="1124" spans="1:8" x14ac:dyDescent="0.3">
      <c r="A1124" t="s">
        <v>1352</v>
      </c>
      <c r="B1124" t="s">
        <v>1353</v>
      </c>
      <c r="C1124">
        <v>12</v>
      </c>
      <c r="D1124" t="str">
        <f t="shared" si="85"/>
        <v/>
      </c>
      <c r="E1124" t="str">
        <f t="shared" si="86"/>
        <v/>
      </c>
      <c r="F1124" t="str">
        <f t="shared" si="88"/>
        <v>HARINAP/PASTELCHOCOFUDGEBETTYC.375G</v>
      </c>
      <c r="G1124" t="s">
        <v>3036</v>
      </c>
      <c r="H1124" s="2">
        <v>7.2446814136361748E-6</v>
      </c>
    </row>
    <row r="1125" spans="1:8" x14ac:dyDescent="0.3">
      <c r="A1125" t="s">
        <v>1753</v>
      </c>
      <c r="B1125" t="s">
        <v>1754</v>
      </c>
      <c r="C1125">
        <v>12</v>
      </c>
      <c r="D1125">
        <f t="shared" si="85"/>
        <v>12</v>
      </c>
      <c r="E1125" t="str">
        <f t="shared" si="86"/>
        <v/>
      </c>
      <c r="F1125" t="str">
        <f t="shared" si="88"/>
        <v>CHILELARGOSESCABECHECOSTEÑA380G(12)</v>
      </c>
      <c r="G1125" t="s">
        <v>3236</v>
      </c>
      <c r="H1125" s="2">
        <v>7.2238833245089351E-6</v>
      </c>
    </row>
    <row r="1126" spans="1:8" x14ac:dyDescent="0.3">
      <c r="A1126" t="s">
        <v>1678</v>
      </c>
      <c r="B1126" t="s">
        <v>1679</v>
      </c>
      <c r="C1126">
        <v>12</v>
      </c>
      <c r="D1126">
        <f t="shared" si="85"/>
        <v>12</v>
      </c>
      <c r="E1126" t="str">
        <f t="shared" si="86"/>
        <v/>
      </c>
      <c r="F1126" t="str">
        <f t="shared" si="88"/>
        <v>CANELAMOLIDAMC63G(12)</v>
      </c>
      <c r="G1126" t="s">
        <v>3199</v>
      </c>
      <c r="H1126" s="2">
        <v>7.1464042770685259E-6</v>
      </c>
    </row>
    <row r="1127" spans="1:8" x14ac:dyDescent="0.3">
      <c r="A1127" t="s">
        <v>1085</v>
      </c>
      <c r="B1127" t="s">
        <v>1086</v>
      </c>
      <c r="C1127">
        <v>1</v>
      </c>
      <c r="D1127" t="str">
        <f t="shared" si="85"/>
        <v/>
      </c>
      <c r="E1127" t="str">
        <f t="shared" si="86"/>
        <v/>
      </c>
      <c r="F1127" t="str">
        <f t="shared" si="88"/>
        <v>NECTARMANZANAJUMEX24/250MLBOTE</v>
      </c>
      <c r="G1127" t="s">
        <v>2903</v>
      </c>
      <c r="H1127" s="2">
        <v>7.088531333410119E-6</v>
      </c>
    </row>
    <row r="1128" spans="1:8" x14ac:dyDescent="0.3">
      <c r="A1128" t="s">
        <v>1087</v>
      </c>
      <c r="B1128" t="s">
        <v>1088</v>
      </c>
      <c r="C1128">
        <v>1</v>
      </c>
      <c r="D1128" t="str">
        <f t="shared" si="85"/>
        <v/>
      </c>
      <c r="E1128" t="str">
        <f t="shared" si="86"/>
        <v/>
      </c>
      <c r="F1128" t="str">
        <f t="shared" si="88"/>
        <v>NECTARMANGOJUMEX24/250MLBOTE</v>
      </c>
      <c r="G1128" t="s">
        <v>2904</v>
      </c>
      <c r="H1128" s="2">
        <v>7.088531333410119E-6</v>
      </c>
    </row>
    <row r="1129" spans="1:8" x14ac:dyDescent="0.3">
      <c r="A1129" t="s">
        <v>891</v>
      </c>
      <c r="B1129" t="s">
        <v>892</v>
      </c>
      <c r="C1129">
        <v>25</v>
      </c>
      <c r="D1129">
        <f t="shared" si="85"/>
        <v>25</v>
      </c>
      <c r="E1129" t="str">
        <f t="shared" si="86"/>
        <v/>
      </c>
      <c r="F1129" t="str">
        <f>SUBSTITUTE(UPPER(CLEAN(G1129))," ","")</f>
        <v>BOLSATLANSPARENTEPLA-GON70X90(25)</v>
      </c>
      <c r="G1129" t="s">
        <v>2806</v>
      </c>
      <c r="H1129" s="2">
        <v>7.0806395683657912E-6</v>
      </c>
    </row>
    <row r="1130" spans="1:8" x14ac:dyDescent="0.3">
      <c r="A1130" t="s">
        <v>695</v>
      </c>
      <c r="B1130" t="s">
        <v>696</v>
      </c>
      <c r="C1130">
        <v>15</v>
      </c>
      <c r="D1130">
        <f t="shared" si="85"/>
        <v>15</v>
      </c>
      <c r="E1130" t="str">
        <f t="shared" si="86"/>
        <v/>
      </c>
      <c r="F1130" t="str">
        <f t="shared" ref="F1130:F1139" si="89">SUBSTITUTE(UPPER(CLEAN(B1130))," ","")</f>
        <v>SAZONADORFLEMINGHOT1KG(15)</v>
      </c>
      <c r="G1130" t="s">
        <v>2708</v>
      </c>
      <c r="H1130" s="2">
        <v>7.0097369917956562E-6</v>
      </c>
    </row>
    <row r="1131" spans="1:8" x14ac:dyDescent="0.3">
      <c r="A1131" t="s">
        <v>757</v>
      </c>
      <c r="B1131" t="s">
        <v>758</v>
      </c>
      <c r="C1131">
        <v>24</v>
      </c>
      <c r="D1131">
        <f t="shared" si="85"/>
        <v>24</v>
      </c>
      <c r="E1131" t="str">
        <f t="shared" si="86"/>
        <v/>
      </c>
      <c r="F1131" t="str">
        <f t="shared" si="89"/>
        <v>BICARBONATOREXAL220GR(24)</v>
      </c>
      <c r="G1131" t="s">
        <v>2739</v>
      </c>
      <c r="H1131" s="2">
        <v>6.9599613278962729E-6</v>
      </c>
    </row>
    <row r="1132" spans="1:8" x14ac:dyDescent="0.3">
      <c r="A1132" t="s">
        <v>1628</v>
      </c>
      <c r="B1132" t="s">
        <v>1629</v>
      </c>
      <c r="C1132">
        <v>24</v>
      </c>
      <c r="D1132">
        <f t="shared" si="85"/>
        <v>24</v>
      </c>
      <c r="E1132" t="str">
        <f t="shared" si="86"/>
        <v/>
      </c>
      <c r="F1132" t="str">
        <f t="shared" si="89"/>
        <v>SALSAGUACAMOLEPRIMO300GR(24)B9</v>
      </c>
      <c r="G1132" t="s">
        <v>3174</v>
      </c>
      <c r="H1132" s="2">
        <v>6.953296562314566E-6</v>
      </c>
    </row>
    <row r="1133" spans="1:8" x14ac:dyDescent="0.3">
      <c r="A1133" t="s">
        <v>949</v>
      </c>
      <c r="B1133" t="s">
        <v>950</v>
      </c>
      <c r="D1133" t="str">
        <f t="shared" si="85"/>
        <v/>
      </c>
      <c r="E1133">
        <f t="shared" si="86"/>
        <v>20</v>
      </c>
      <c r="F1133" t="str">
        <f t="shared" si="89"/>
        <v>CIGARROSMARLBOROROJOCJ.SUAVEC/20</v>
      </c>
      <c r="G1133" t="s">
        <v>2835</v>
      </c>
      <c r="H1133" s="2">
        <v>6.9024172077813807E-6</v>
      </c>
    </row>
    <row r="1134" spans="1:8" x14ac:dyDescent="0.3">
      <c r="A1134" t="s">
        <v>697</v>
      </c>
      <c r="B1134" t="s">
        <v>698</v>
      </c>
      <c r="C1134">
        <v>12</v>
      </c>
      <c r="D1134">
        <f t="shared" si="85"/>
        <v>12</v>
      </c>
      <c r="E1134" t="str">
        <f t="shared" si="86"/>
        <v/>
      </c>
      <c r="F1134" t="str">
        <f t="shared" si="89"/>
        <v>-SOPAMARUCHANRES64GR(12)</v>
      </c>
      <c r="G1134" t="s">
        <v>2709</v>
      </c>
      <c r="H1134" s="2">
        <v>6.8707679417181891E-6</v>
      </c>
    </row>
    <row r="1135" spans="1:8" x14ac:dyDescent="0.3">
      <c r="A1135" t="s">
        <v>2233</v>
      </c>
      <c r="B1135" t="s">
        <v>2234</v>
      </c>
      <c r="C1135">
        <v>6</v>
      </c>
      <c r="D1135">
        <f t="shared" si="85"/>
        <v>6</v>
      </c>
      <c r="E1135" t="str">
        <f t="shared" si="86"/>
        <v/>
      </c>
      <c r="F1135" t="str">
        <f t="shared" si="89"/>
        <v>-CHILESNACHOSGENERICO3KG(6)</v>
      </c>
      <c r="G1135" t="s">
        <v>3476</v>
      </c>
      <c r="H1135" s="2">
        <v>6.7269076414309577E-6</v>
      </c>
    </row>
    <row r="1136" spans="1:8" x14ac:dyDescent="0.3">
      <c r="A1136" t="s">
        <v>1985</v>
      </c>
      <c r="B1136" t="s">
        <v>1986</v>
      </c>
      <c r="C1136">
        <v>144</v>
      </c>
      <c r="D1136">
        <f t="shared" si="85"/>
        <v>144</v>
      </c>
      <c r="E1136" t="str">
        <f t="shared" si="86"/>
        <v/>
      </c>
      <c r="F1136" t="str">
        <f t="shared" si="89"/>
        <v>MAIZENASABORNUEZ47GR(144)</v>
      </c>
      <c r="G1136" t="s">
        <v>3352</v>
      </c>
      <c r="H1136" s="2">
        <v>6.6653765358509622E-6</v>
      </c>
    </row>
    <row r="1137" spans="1:8" x14ac:dyDescent="0.3">
      <c r="A1137" t="s">
        <v>515</v>
      </c>
      <c r="B1137" t="s">
        <v>516</v>
      </c>
      <c r="C1137">
        <v>12</v>
      </c>
      <c r="D1137">
        <f t="shared" si="85"/>
        <v>12</v>
      </c>
      <c r="E1137" t="str">
        <f t="shared" si="86"/>
        <v/>
      </c>
      <c r="F1137" t="str">
        <f t="shared" si="89"/>
        <v>LECHESANMARCOSENTERA1L(12)</v>
      </c>
      <c r="G1137" t="s">
        <v>2618</v>
      </c>
      <c r="H1137" s="2">
        <v>6.6175738132126618E-6</v>
      </c>
    </row>
    <row r="1138" spans="1:8" x14ac:dyDescent="0.3">
      <c r="A1138" t="s">
        <v>1456</v>
      </c>
      <c r="B1138" t="s">
        <v>1457</v>
      </c>
      <c r="C1138">
        <v>8</v>
      </c>
      <c r="D1138">
        <f t="shared" si="85"/>
        <v>8</v>
      </c>
      <c r="E1138" t="str">
        <f t="shared" si="86"/>
        <v/>
      </c>
      <c r="F1138" t="str">
        <f t="shared" si="89"/>
        <v>FLANLALAVAINILLA100GR(8)</v>
      </c>
      <c r="G1138" t="s">
        <v>3088</v>
      </c>
      <c r="H1138" s="2">
        <v>6.5683495658442805E-6</v>
      </c>
    </row>
    <row r="1139" spans="1:8" x14ac:dyDescent="0.3">
      <c r="A1139" t="s">
        <v>1175</v>
      </c>
      <c r="B1139" t="s">
        <v>1176</v>
      </c>
      <c r="C1139">
        <v>1</v>
      </c>
      <c r="D1139" t="str">
        <f t="shared" si="85"/>
        <v/>
      </c>
      <c r="E1139" t="str">
        <f t="shared" si="86"/>
        <v/>
      </c>
      <c r="F1139" t="str">
        <f t="shared" si="89"/>
        <v>MOSTAZAHEINZC/200/5GR</v>
      </c>
      <c r="G1139" t="s">
        <v>2948</v>
      </c>
      <c r="H1139" s="2">
        <v>6.5470411631289782E-6</v>
      </c>
    </row>
    <row r="1140" spans="1:8" x14ac:dyDescent="0.3">
      <c r="A1140" t="s">
        <v>873</v>
      </c>
      <c r="B1140" t="s">
        <v>874</v>
      </c>
      <c r="C1140">
        <v>12</v>
      </c>
      <c r="D1140">
        <f t="shared" si="85"/>
        <v>12</v>
      </c>
      <c r="E1140" t="str">
        <f t="shared" si="86"/>
        <v/>
      </c>
      <c r="F1140" t="str">
        <f>SUBSTITUTE(UPPER(CLEAN(G1140))," ","")</f>
        <v>LIMPIAVIDRIOSMR.MUSCULO650ML(12)</v>
      </c>
      <c r="G1140" t="s">
        <v>2797</v>
      </c>
      <c r="H1140" s="2">
        <v>6.5285448388063344E-6</v>
      </c>
    </row>
    <row r="1141" spans="1:8" x14ac:dyDescent="0.3">
      <c r="A1141" t="s">
        <v>2265</v>
      </c>
      <c r="B1141" t="s">
        <v>2266</v>
      </c>
      <c r="C1141">
        <v>12</v>
      </c>
      <c r="D1141">
        <f t="shared" si="85"/>
        <v>12</v>
      </c>
      <c r="E1141" t="str">
        <f t="shared" si="86"/>
        <v/>
      </c>
      <c r="F1141" t="str">
        <f t="shared" ref="F1141:F1146" si="90">SUBSTITUTE(UPPER(CLEAN(B1141))," ","")</f>
        <v>AJAXLIQ.C/AMONIA1LTO(12)</v>
      </c>
      <c r="G1141" t="s">
        <v>3492</v>
      </c>
      <c r="H1141" s="2">
        <v>6.4860443958071924E-6</v>
      </c>
    </row>
    <row r="1142" spans="1:8" x14ac:dyDescent="0.3">
      <c r="A1142" t="s">
        <v>675</v>
      </c>
      <c r="B1142" t="s">
        <v>676</v>
      </c>
      <c r="C1142">
        <v>24</v>
      </c>
      <c r="D1142">
        <f t="shared" si="85"/>
        <v>24</v>
      </c>
      <c r="E1142" t="str">
        <f t="shared" si="86"/>
        <v/>
      </c>
      <c r="F1142" t="str">
        <f t="shared" si="90"/>
        <v>-SARDINAPONTOACEI.SOYAPICA120GR(24)</v>
      </c>
      <c r="G1142" t="s">
        <v>2698</v>
      </c>
      <c r="H1142" s="2">
        <v>6.3134120354625148E-6</v>
      </c>
    </row>
    <row r="1143" spans="1:8" x14ac:dyDescent="0.3">
      <c r="A1143" t="s">
        <v>1231</v>
      </c>
      <c r="B1143" t="s">
        <v>1232</v>
      </c>
      <c r="C1143">
        <v>12</v>
      </c>
      <c r="D1143">
        <f t="shared" si="85"/>
        <v>12</v>
      </c>
      <c r="E1143" t="str">
        <f t="shared" si="86"/>
        <v/>
      </c>
      <c r="F1143" t="str">
        <f t="shared" si="90"/>
        <v>CAFEDECAF40G(12)</v>
      </c>
      <c r="G1143" t="s">
        <v>2976</v>
      </c>
      <c r="H1143" s="2">
        <v>6.2669992252808807E-6</v>
      </c>
    </row>
    <row r="1144" spans="1:8" x14ac:dyDescent="0.3">
      <c r="A1144" t="s">
        <v>1997</v>
      </c>
      <c r="B1144" t="s">
        <v>1998</v>
      </c>
      <c r="C1144">
        <v>150</v>
      </c>
      <c r="D1144">
        <f t="shared" si="85"/>
        <v>150</v>
      </c>
      <c r="E1144" t="str">
        <f t="shared" si="86"/>
        <v/>
      </c>
      <c r="F1144" t="str">
        <f t="shared" si="90"/>
        <v>-MAIZENA95G(150)</v>
      </c>
      <c r="G1144" t="s">
        <v>3358</v>
      </c>
      <c r="H1144" s="2">
        <v>6.1962275451428296E-6</v>
      </c>
    </row>
    <row r="1145" spans="1:8" x14ac:dyDescent="0.3">
      <c r="A1145" t="s">
        <v>1478</v>
      </c>
      <c r="B1145" t="s">
        <v>1479</v>
      </c>
      <c r="C1145">
        <v>24</v>
      </c>
      <c r="D1145">
        <f t="shared" si="85"/>
        <v>24</v>
      </c>
      <c r="E1145" t="str">
        <f t="shared" si="86"/>
        <v/>
      </c>
      <c r="F1145" t="str">
        <f t="shared" si="90"/>
        <v>SALSAHABANERAROJAMPRIMO300GR(24)B9</v>
      </c>
      <c r="G1145" t="s">
        <v>3099</v>
      </c>
      <c r="H1145" s="2">
        <v>6.1828208092119131E-6</v>
      </c>
    </row>
    <row r="1146" spans="1:8" x14ac:dyDescent="0.3">
      <c r="A1146" t="s">
        <v>2317</v>
      </c>
      <c r="B1146" t="s">
        <v>2318</v>
      </c>
      <c r="C1146">
        <v>6</v>
      </c>
      <c r="D1146">
        <f t="shared" si="85"/>
        <v>6</v>
      </c>
      <c r="E1146" t="str">
        <f t="shared" si="86"/>
        <v/>
      </c>
      <c r="F1146" t="str">
        <f t="shared" si="90"/>
        <v>SAZONADORDEAJOYHIERBASPRAGNA246G(6</v>
      </c>
      <c r="G1146" t="s">
        <v>3518</v>
      </c>
      <c r="H1146" s="2">
        <v>6.1403686456884449E-6</v>
      </c>
    </row>
    <row r="1147" spans="1:8" x14ac:dyDescent="0.3">
      <c r="A1147" t="s">
        <v>911</v>
      </c>
      <c r="B1147" t="s">
        <v>912</v>
      </c>
      <c r="C1147">
        <v>1</v>
      </c>
      <c r="D1147" t="str">
        <f t="shared" si="85"/>
        <v/>
      </c>
      <c r="E1147" t="str">
        <f t="shared" si="86"/>
        <v/>
      </c>
      <c r="F1147" t="str">
        <f>SUBSTITUTE(UPPER(CLEAN(G1147))," ","")</f>
        <v>TOALLAINTERDOBLADASPETALOC/20/150PZS</v>
      </c>
      <c r="G1147" t="s">
        <v>2816</v>
      </c>
      <c r="H1147" s="2">
        <v>6.0858661433510538E-6</v>
      </c>
    </row>
    <row r="1148" spans="1:8" x14ac:dyDescent="0.3">
      <c r="A1148" t="s">
        <v>541</v>
      </c>
      <c r="B1148" t="s">
        <v>542</v>
      </c>
      <c r="C1148">
        <v>1</v>
      </c>
      <c r="D1148" t="str">
        <f t="shared" si="85"/>
        <v/>
      </c>
      <c r="E1148" t="str">
        <f t="shared" si="86"/>
        <v/>
      </c>
      <c r="F1148" t="str">
        <f t="shared" ref="F1148:F1172" si="91">SUBSTITUTE(UPPER(CLEAN(B1148))," ","")</f>
        <v>CUBETAMERMELADAFRESANATURASOL4.5KG</v>
      </c>
      <c r="G1148" t="s">
        <v>2631</v>
      </c>
      <c r="H1148" s="2">
        <v>6.0506409212521505E-6</v>
      </c>
    </row>
    <row r="1149" spans="1:8" x14ac:dyDescent="0.3">
      <c r="A1149" t="s">
        <v>1315</v>
      </c>
      <c r="B1149" t="s">
        <v>1316</v>
      </c>
      <c r="C1149">
        <v>24</v>
      </c>
      <c r="D1149">
        <f t="shared" si="85"/>
        <v>24</v>
      </c>
      <c r="E1149" t="str">
        <f t="shared" si="86"/>
        <v/>
      </c>
      <c r="F1149" t="str">
        <f t="shared" si="91"/>
        <v>SALSAA1STEAKSAUSE5OZ.142G(24)</v>
      </c>
      <c r="G1149" t="s">
        <v>3018</v>
      </c>
      <c r="H1149" s="2">
        <v>6.0438589356671821E-6</v>
      </c>
    </row>
    <row r="1150" spans="1:8" x14ac:dyDescent="0.3">
      <c r="A1150" t="s">
        <v>1935</v>
      </c>
      <c r="B1150" t="s">
        <v>1936</v>
      </c>
      <c r="C1150">
        <v>6</v>
      </c>
      <c r="D1150">
        <f t="shared" si="85"/>
        <v>6</v>
      </c>
      <c r="E1150" t="str">
        <f t="shared" si="86"/>
        <v/>
      </c>
      <c r="F1150" t="str">
        <f t="shared" si="91"/>
        <v>%PUREPAPAKNORR800GR.(6)</v>
      </c>
      <c r="G1150" t="s">
        <v>3327</v>
      </c>
      <c r="H1150" s="2">
        <v>6.0421326120637344E-6</v>
      </c>
    </row>
    <row r="1151" spans="1:8" x14ac:dyDescent="0.3">
      <c r="A1151" t="s">
        <v>581</v>
      </c>
      <c r="B1151" t="s">
        <v>582</v>
      </c>
      <c r="C1151">
        <v>20</v>
      </c>
      <c r="D1151">
        <f t="shared" si="85"/>
        <v>20</v>
      </c>
      <c r="E1151" t="str">
        <f t="shared" si="86"/>
        <v/>
      </c>
      <c r="F1151" t="str">
        <f t="shared" si="91"/>
        <v>PASTAFIORDIP.MACARRON200GR(20)</v>
      </c>
      <c r="G1151" t="s">
        <v>2651</v>
      </c>
      <c r="H1151" s="2">
        <v>6.0171420227566957E-6</v>
      </c>
    </row>
    <row r="1152" spans="1:8" x14ac:dyDescent="0.3">
      <c r="A1152" t="s">
        <v>943</v>
      </c>
      <c r="B1152" t="s">
        <v>944</v>
      </c>
      <c r="C1152">
        <v>12</v>
      </c>
      <c r="D1152" t="str">
        <f t="shared" si="85"/>
        <v/>
      </c>
      <c r="E1152" t="str">
        <f t="shared" si="86"/>
        <v/>
      </c>
      <c r="F1152" t="str">
        <f t="shared" si="91"/>
        <v>TOALLITASDESINFECTANTESLYSOLC/80(BOTE</v>
      </c>
      <c r="G1152" t="s">
        <v>2832</v>
      </c>
      <c r="H1152" s="2">
        <v>5.9918226099061424E-6</v>
      </c>
    </row>
    <row r="1153" spans="1:8" x14ac:dyDescent="0.3">
      <c r="A1153" t="s">
        <v>1416</v>
      </c>
      <c r="B1153" t="s">
        <v>1417</v>
      </c>
      <c r="C1153">
        <v>12</v>
      </c>
      <c r="D1153">
        <f t="shared" si="85"/>
        <v>12</v>
      </c>
      <c r="E1153" t="str">
        <f t="shared" si="86"/>
        <v/>
      </c>
      <c r="F1153" t="str">
        <f t="shared" si="91"/>
        <v>%GELATINAAGUALIMONCARTED'OR600G(12)</v>
      </c>
      <c r="G1153" t="s">
        <v>3068</v>
      </c>
      <c r="H1153" s="2">
        <v>5.9672841529714347E-6</v>
      </c>
    </row>
    <row r="1154" spans="1:8" x14ac:dyDescent="0.3">
      <c r="A1154" t="s">
        <v>1424</v>
      </c>
      <c r="B1154" t="s">
        <v>1425</v>
      </c>
      <c r="C1154">
        <v>12</v>
      </c>
      <c r="D1154">
        <f t="shared" ref="D1154:D1178" si="92">IFERROR(VALUE(IFERROR(
    MID(G1154,FIND("(",G1154)+1,FIND(")",G1154)-FIND("(",G1154)-1),
    IFERROR(
        MID(G1154,FIND("(",G1154)+1,LEN(G1154)-FIND("(",G1154)),
        ""
    )
)),"")</f>
        <v>12</v>
      </c>
      <c r="E1154" t="str">
        <f t="shared" ref="E1154:E1178" si="93">IFERROR(VALUE(MID(SUBSTITUTE(G1154," ",""),
FIND("/",SUBSTITUTE(G1154," ",""))+1,
MIN(IFERROR(FIND("PZS",SUBSTITUTE(G1154," ","")),999),
    IFERROR(FIND("PZA",SUBSTITUTE(G1154," ","")),999))
-FIND("/",SUBSTITUTE(G1154," ",""))-1)),"")</f>
        <v/>
      </c>
      <c r="F1154" t="str">
        <f t="shared" si="91"/>
        <v>%GELATINAAGUAFRESACARTED'OR600G(12</v>
      </c>
      <c r="G1154" t="s">
        <v>3072</v>
      </c>
      <c r="H1154" s="2">
        <v>5.9617763586175813E-6</v>
      </c>
    </row>
    <row r="1155" spans="1:8" x14ac:dyDescent="0.3">
      <c r="A1155" t="s">
        <v>2315</v>
      </c>
      <c r="B1155" t="s">
        <v>2316</v>
      </c>
      <c r="C1155">
        <v>6</v>
      </c>
      <c r="D1155">
        <f t="shared" si="92"/>
        <v>6</v>
      </c>
      <c r="E1155" t="str">
        <f t="shared" si="93"/>
        <v/>
      </c>
      <c r="F1155" t="str">
        <f t="shared" si="91"/>
        <v>SALDELHIMALAYAMOLIDAPRAGNA500(6)</v>
      </c>
      <c r="G1155" t="s">
        <v>3517</v>
      </c>
      <c r="H1155" s="2">
        <v>5.9388036709846552E-6</v>
      </c>
    </row>
    <row r="1156" spans="1:8" x14ac:dyDescent="0.3">
      <c r="A1156" t="s">
        <v>1488</v>
      </c>
      <c r="B1156" t="s">
        <v>1489</v>
      </c>
      <c r="C1156">
        <v>24</v>
      </c>
      <c r="D1156">
        <f t="shared" si="92"/>
        <v>24</v>
      </c>
      <c r="E1156" t="str">
        <f t="shared" si="93"/>
        <v/>
      </c>
      <c r="F1156" t="str">
        <f t="shared" si="91"/>
        <v>SALSATLAQUERAPRIMO300GR(24)B9</v>
      </c>
      <c r="G1156" t="s">
        <v>3104</v>
      </c>
      <c r="H1156" s="2">
        <v>5.9232193812875586E-6</v>
      </c>
    </row>
    <row r="1157" spans="1:8" x14ac:dyDescent="0.3">
      <c r="A1157" t="s">
        <v>1089</v>
      </c>
      <c r="B1157" t="s">
        <v>1090</v>
      </c>
      <c r="C1157">
        <v>1</v>
      </c>
      <c r="D1157" t="str">
        <f t="shared" si="92"/>
        <v/>
      </c>
      <c r="E1157" t="str">
        <f t="shared" si="93"/>
        <v/>
      </c>
      <c r="F1157" t="str">
        <f t="shared" si="91"/>
        <v>NECTARDURAZNOJUMEX24/250MLBOTE</v>
      </c>
      <c r="G1157" t="s">
        <v>2905</v>
      </c>
      <c r="H1157" s="2">
        <v>5.9071094445084329E-6</v>
      </c>
    </row>
    <row r="1158" spans="1:8" x14ac:dyDescent="0.3">
      <c r="A1158" t="s">
        <v>1480</v>
      </c>
      <c r="B1158" t="s">
        <v>1481</v>
      </c>
      <c r="C1158">
        <v>24</v>
      </c>
      <c r="D1158">
        <f t="shared" si="92"/>
        <v>24</v>
      </c>
      <c r="E1158" t="str">
        <f t="shared" si="93"/>
        <v/>
      </c>
      <c r="F1158" t="str">
        <f t="shared" si="91"/>
        <v>SALSAHABANERAVERDEPRIMO300GR(24)B9</v>
      </c>
      <c r="G1158" t="s">
        <v>3100</v>
      </c>
      <c r="H1158" s="2">
        <v>5.8637842439134787E-6</v>
      </c>
    </row>
    <row r="1159" spans="1:8" x14ac:dyDescent="0.3">
      <c r="A1159" t="s">
        <v>1751</v>
      </c>
      <c r="B1159" t="s">
        <v>1752</v>
      </c>
      <c r="C1159">
        <v>12</v>
      </c>
      <c r="D1159">
        <f t="shared" si="92"/>
        <v>12</v>
      </c>
      <c r="E1159" t="str">
        <f t="shared" si="93"/>
        <v/>
      </c>
      <c r="F1159" t="str">
        <f t="shared" si="91"/>
        <v>FRIJOLESRANCHCOSTEÑA410G(12)</v>
      </c>
      <c r="G1159" t="s">
        <v>3235</v>
      </c>
      <c r="H1159" s="2">
        <v>5.8489330729653225E-6</v>
      </c>
    </row>
    <row r="1160" spans="1:8" x14ac:dyDescent="0.3">
      <c r="A1160" t="s">
        <v>971</v>
      </c>
      <c r="B1160" t="s">
        <v>972</v>
      </c>
      <c r="C1160">
        <v>12</v>
      </c>
      <c r="D1160">
        <f t="shared" si="92"/>
        <v>12</v>
      </c>
      <c r="E1160" t="str">
        <f t="shared" si="93"/>
        <v/>
      </c>
      <c r="F1160" t="str">
        <f t="shared" si="91"/>
        <v>ACEITENUTRIOLI400ML(12)</v>
      </c>
      <c r="G1160" t="s">
        <v>2846</v>
      </c>
      <c r="H1160" s="2">
        <v>5.8201767201920055E-6</v>
      </c>
    </row>
    <row r="1161" spans="1:8" x14ac:dyDescent="0.3">
      <c r="A1161" t="s">
        <v>947</v>
      </c>
      <c r="B1161" t="s">
        <v>948</v>
      </c>
      <c r="C1161">
        <v>1</v>
      </c>
      <c r="D1161" t="str">
        <f t="shared" si="92"/>
        <v/>
      </c>
      <c r="E1161" t="str">
        <f t="shared" si="93"/>
        <v/>
      </c>
      <c r="F1161" t="str">
        <f t="shared" si="91"/>
        <v>SHAMPOOP/MANOSALMENDRASVARSSET4L</v>
      </c>
      <c r="G1161" t="s">
        <v>2834</v>
      </c>
      <c r="H1161" s="2">
        <v>5.7809171990303833E-6</v>
      </c>
    </row>
    <row r="1162" spans="1:8" x14ac:dyDescent="0.3">
      <c r="A1162" t="s">
        <v>1787</v>
      </c>
      <c r="B1162" t="s">
        <v>1788</v>
      </c>
      <c r="C1162">
        <v>24</v>
      </c>
      <c r="D1162">
        <f t="shared" si="92"/>
        <v>24</v>
      </c>
      <c r="E1162" t="str">
        <f t="shared" si="93"/>
        <v/>
      </c>
      <c r="F1162" t="str">
        <f t="shared" si="91"/>
        <v>SALSAMOLCAJROJAPRIMO300GR(24)B9</v>
      </c>
      <c r="G1162" t="s">
        <v>3253</v>
      </c>
      <c r="H1162" s="2">
        <v>5.6864769405556649E-6</v>
      </c>
    </row>
    <row r="1163" spans="1:8" x14ac:dyDescent="0.3">
      <c r="A1163" t="s">
        <v>605</v>
      </c>
      <c r="B1163" t="s">
        <v>606</v>
      </c>
      <c r="C1163">
        <v>20</v>
      </c>
      <c r="D1163">
        <f t="shared" si="92"/>
        <v>2</v>
      </c>
      <c r="E1163" t="str">
        <f t="shared" si="93"/>
        <v/>
      </c>
      <c r="F1163" t="str">
        <f t="shared" si="91"/>
        <v>-MEJORANTEDEPANDULCEPLUSPAN440GR(2</v>
      </c>
      <c r="G1163" t="s">
        <v>2663</v>
      </c>
      <c r="H1163" s="2">
        <v>5.5996594313231488E-6</v>
      </c>
    </row>
    <row r="1164" spans="1:8" x14ac:dyDescent="0.3">
      <c r="A1164" t="s">
        <v>337</v>
      </c>
      <c r="B1164" t="s">
        <v>338</v>
      </c>
      <c r="C1164">
        <v>1</v>
      </c>
      <c r="D1164" t="str">
        <f t="shared" si="92"/>
        <v/>
      </c>
      <c r="E1164" t="str">
        <f t="shared" si="93"/>
        <v/>
      </c>
      <c r="F1164" t="str">
        <f t="shared" si="91"/>
        <v>AZUCARBLANCAREFINADAC/50K</v>
      </c>
      <c r="G1164" t="s">
        <v>2529</v>
      </c>
      <c r="H1164" s="2">
        <v>5.5352100167944693E-6</v>
      </c>
    </row>
    <row r="1165" spans="1:8" x14ac:dyDescent="0.3">
      <c r="A1165" t="s">
        <v>2083</v>
      </c>
      <c r="B1165" t="s">
        <v>2084</v>
      </c>
      <c r="C1165">
        <v>12</v>
      </c>
      <c r="D1165">
        <f t="shared" si="92"/>
        <v>12</v>
      </c>
      <c r="E1165" t="str">
        <f t="shared" si="93"/>
        <v/>
      </c>
      <c r="F1165" t="str">
        <f t="shared" si="91"/>
        <v>TANGFRESARED8/13G(12)</v>
      </c>
      <c r="G1165" t="s">
        <v>3401</v>
      </c>
      <c r="H1165" s="2">
        <v>5.4651706020260569E-6</v>
      </c>
    </row>
    <row r="1166" spans="1:8" x14ac:dyDescent="0.3">
      <c r="A1166" t="s">
        <v>453</v>
      </c>
      <c r="B1166" t="s">
        <v>454</v>
      </c>
      <c r="C1166">
        <v>12</v>
      </c>
      <c r="D1166">
        <f t="shared" si="92"/>
        <v>12</v>
      </c>
      <c r="E1166" t="str">
        <f t="shared" si="93"/>
        <v/>
      </c>
      <c r="F1166" t="str">
        <f t="shared" si="91"/>
        <v>-HARINAP/PASTELMANTEQDUNCAN432G(12)</v>
      </c>
      <c r="G1166" t="s">
        <v>2587</v>
      </c>
      <c r="H1166" s="2">
        <v>5.4541139103754099E-6</v>
      </c>
    </row>
    <row r="1167" spans="1:8" x14ac:dyDescent="0.3">
      <c r="A1167" t="s">
        <v>987</v>
      </c>
      <c r="B1167" t="s">
        <v>988</v>
      </c>
      <c r="C1167">
        <v>20</v>
      </c>
      <c r="D1167">
        <f t="shared" si="92"/>
        <v>20</v>
      </c>
      <c r="E1167" t="str">
        <f t="shared" si="93"/>
        <v/>
      </c>
      <c r="F1167" t="str">
        <f t="shared" si="91"/>
        <v>CLORALEX500MLMEDIANO(20)</v>
      </c>
      <c r="G1167" t="s">
        <v>2854</v>
      </c>
      <c r="H1167" s="2">
        <v>5.3756852357083194E-6</v>
      </c>
    </row>
    <row r="1168" spans="1:8" x14ac:dyDescent="0.3">
      <c r="A1168" t="s">
        <v>1546</v>
      </c>
      <c r="B1168" t="s">
        <v>1547</v>
      </c>
      <c r="C1168">
        <v>1</v>
      </c>
      <c r="D1168" t="str">
        <f t="shared" si="92"/>
        <v/>
      </c>
      <c r="E1168" t="str">
        <f t="shared" si="93"/>
        <v/>
      </c>
      <c r="F1168" t="str">
        <f t="shared" si="91"/>
        <v>-GALLETASEMPERADORCHOCOLATE16/91G</v>
      </c>
      <c r="G1168" t="s">
        <v>3133</v>
      </c>
      <c r="H1168" s="2">
        <v>5.2855096384387741E-6</v>
      </c>
    </row>
    <row r="1169" spans="1:8" x14ac:dyDescent="0.3">
      <c r="A1169" t="s">
        <v>941</v>
      </c>
      <c r="B1169" t="s">
        <v>942</v>
      </c>
      <c r="C1169">
        <v>40</v>
      </c>
      <c r="D1169" t="str">
        <f t="shared" si="92"/>
        <v/>
      </c>
      <c r="E1169">
        <f t="shared" si="93"/>
        <v>50</v>
      </c>
      <c r="F1169" t="str">
        <f t="shared" si="91"/>
        <v>CUBREBOCAPLISADOTRIPEC/50PZAS</v>
      </c>
      <c r="G1169" t="s">
        <v>2831</v>
      </c>
      <c r="H1169" s="2">
        <v>5.1868214724417336E-6</v>
      </c>
    </row>
    <row r="1170" spans="1:8" x14ac:dyDescent="0.3">
      <c r="A1170" t="s">
        <v>2097</v>
      </c>
      <c r="B1170" t="s">
        <v>2098</v>
      </c>
      <c r="C1170">
        <v>1</v>
      </c>
      <c r="D1170" t="str">
        <f t="shared" si="92"/>
        <v/>
      </c>
      <c r="E1170" t="str">
        <f t="shared" si="93"/>
        <v/>
      </c>
      <c r="F1170" t="str">
        <f t="shared" si="91"/>
        <v>-GALLETASRITZC/12/.89G</v>
      </c>
      <c r="G1170" t="s">
        <v>3408</v>
      </c>
      <c r="H1170" s="2">
        <v>5.181149266316122E-6</v>
      </c>
    </row>
    <row r="1171" spans="1:8" x14ac:dyDescent="0.3">
      <c r="A1171" t="s">
        <v>1277</v>
      </c>
      <c r="B1171" t="s">
        <v>1278</v>
      </c>
      <c r="C1171">
        <v>6</v>
      </c>
      <c r="D1171">
        <f t="shared" si="92"/>
        <v>6</v>
      </c>
      <c r="E1171" t="str">
        <f t="shared" si="93"/>
        <v/>
      </c>
      <c r="F1171" t="str">
        <f t="shared" si="91"/>
        <v>CANELAMOLIDAMC220G(6)</v>
      </c>
      <c r="G1171" t="s">
        <v>2999</v>
      </c>
      <c r="H1171" s="2">
        <v>5.1109865427188925E-6</v>
      </c>
    </row>
    <row r="1172" spans="1:8" x14ac:dyDescent="0.3">
      <c r="A1172" t="s">
        <v>1199</v>
      </c>
      <c r="B1172" t="s">
        <v>1200</v>
      </c>
      <c r="C1172">
        <v>4</v>
      </c>
      <c r="D1172">
        <f t="shared" si="92"/>
        <v>4</v>
      </c>
      <c r="E1172" t="str">
        <f t="shared" si="93"/>
        <v/>
      </c>
      <c r="F1172" t="str">
        <f t="shared" si="91"/>
        <v>MANTEQUILLALALASOLIDAENTERA90GR(4)</v>
      </c>
      <c r="G1172" t="s">
        <v>2960</v>
      </c>
      <c r="H1172" s="2">
        <v>5.1069939425917836E-6</v>
      </c>
    </row>
    <row r="1173" spans="1:8" x14ac:dyDescent="0.3">
      <c r="A1173" t="s">
        <v>909</v>
      </c>
      <c r="B1173" t="s">
        <v>910</v>
      </c>
      <c r="C1173">
        <v>12</v>
      </c>
      <c r="D1173">
        <f t="shared" si="92"/>
        <v>12</v>
      </c>
      <c r="E1173" t="str">
        <f t="shared" si="93"/>
        <v/>
      </c>
      <c r="F1173" t="str">
        <f>SUBSTITUTE(UPPER(CLEAN(G1173))," ","")</f>
        <v>-VANISHREMOV.MANCHAS420ML.(12)</v>
      </c>
      <c r="G1173" t="s">
        <v>2815</v>
      </c>
      <c r="H1173" s="2">
        <v>5.1059719836803085E-6</v>
      </c>
    </row>
    <row r="1174" spans="1:8" x14ac:dyDescent="0.3">
      <c r="A1174" t="s">
        <v>771</v>
      </c>
      <c r="B1174" t="s">
        <v>772</v>
      </c>
      <c r="C1174">
        <v>1</v>
      </c>
      <c r="D1174" t="str">
        <f t="shared" si="92"/>
        <v/>
      </c>
      <c r="E1174">
        <f t="shared" si="93"/>
        <v>200</v>
      </c>
      <c r="F1174" t="str">
        <f>SUBSTITUTE(UPPER(CLEAN(B1174))," ","")</f>
        <v>CONTENEDOR9X9DIVISIONREYMAC/200PZA</v>
      </c>
      <c r="G1174" t="s">
        <v>2746</v>
      </c>
      <c r="H1174" s="2">
        <v>5.0477702164783887E-6</v>
      </c>
    </row>
    <row r="1175" spans="1:8" x14ac:dyDescent="0.3">
      <c r="A1175" t="s">
        <v>349</v>
      </c>
      <c r="B1175" t="s">
        <v>350</v>
      </c>
      <c r="C1175">
        <v>20</v>
      </c>
      <c r="D1175">
        <f t="shared" si="92"/>
        <v>20</v>
      </c>
      <c r="E1175" t="str">
        <f t="shared" si="93"/>
        <v/>
      </c>
      <c r="F1175" t="str">
        <f>SUBSTITUTE(UPPER(CLEAN(B1175))," ","")</f>
        <v>AZUCARMORENALANUESTRA500G(20)</v>
      </c>
      <c r="G1175" t="s">
        <v>2535</v>
      </c>
      <c r="H1175" s="2">
        <v>5.0352749218248685E-6</v>
      </c>
    </row>
    <row r="1176" spans="1:8" x14ac:dyDescent="0.3">
      <c r="A1176" t="s">
        <v>1889</v>
      </c>
      <c r="B1176" t="s">
        <v>1890</v>
      </c>
      <c r="C1176">
        <v>6</v>
      </c>
      <c r="D1176">
        <f t="shared" si="92"/>
        <v>6</v>
      </c>
      <c r="E1176" t="str">
        <f t="shared" si="93"/>
        <v/>
      </c>
      <c r="F1176" t="str">
        <f>SUBSTITUTE(UPPER(CLEAN(B1176))," ","")</f>
        <v>-KNORRBASESALSAROJA500GR(6)</v>
      </c>
      <c r="G1176" t="s">
        <v>3304</v>
      </c>
      <c r="H1176" s="2">
        <v>5.0253280096335801E-6</v>
      </c>
    </row>
    <row r="1177" spans="1:8" x14ac:dyDescent="0.3">
      <c r="A1177" t="s">
        <v>1891</v>
      </c>
      <c r="B1177" t="s">
        <v>1892</v>
      </c>
      <c r="C1177">
        <v>4</v>
      </c>
      <c r="D1177">
        <f t="shared" si="92"/>
        <v>4</v>
      </c>
      <c r="E1177" t="str">
        <f t="shared" si="93"/>
        <v/>
      </c>
      <c r="F1177" t="str">
        <f>SUBSTITUTE(UPPER(CLEAN(B1177))," ","")</f>
        <v>-KETCHUPBOLSAC/VALVHELLMANS3KG(4)</v>
      </c>
      <c r="G1177" t="s">
        <v>3305</v>
      </c>
      <c r="H1177" s="2">
        <v>5.0152166856705351E-6</v>
      </c>
    </row>
    <row r="1178" spans="1:8" x14ac:dyDescent="0.3">
      <c r="A1178" t="s">
        <v>2241</v>
      </c>
      <c r="B1178" t="s">
        <v>2242</v>
      </c>
      <c r="C1178">
        <v>24</v>
      </c>
      <c r="D1178">
        <f t="shared" si="92"/>
        <v>24</v>
      </c>
      <c r="E1178" t="str">
        <f t="shared" si="93"/>
        <v/>
      </c>
      <c r="F1178" t="str">
        <f>SUBSTITUTE(UPPER(CLEAN(B1178))," ","")</f>
        <v>-FABULOSOMARFRESCO500ML(24)</v>
      </c>
      <c r="G1178" t="s">
        <v>3480</v>
      </c>
      <c r="H1178" s="2">
        <v>-1.4206072135092132E-5</v>
      </c>
    </row>
  </sheetData>
  <autoFilter ref="A1:H1178" xr:uid="{00000000-0001-0000-0000-000000000000}">
    <sortState xmlns:xlrd2="http://schemas.microsoft.com/office/spreadsheetml/2017/richdata2" ref="A2:H1178">
      <sortCondition descending="1" ref="H1:H117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 ERP®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 Garza</cp:lastModifiedBy>
  <dcterms:created xsi:type="dcterms:W3CDTF">2026-04-24T22:06:39Z</dcterms:created>
  <dcterms:modified xsi:type="dcterms:W3CDTF">2026-05-12T22:16:18Z</dcterms:modified>
</cp:coreProperties>
</file>